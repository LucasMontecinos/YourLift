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yelo\Downloads\"/>
    </mc:Choice>
  </mc:AlternateContent>
  <bookViews>
    <workbookView xWindow="0" yWindow="0" windowWidth="9990" windowHeight="6885" activeTab="2"/>
  </bookViews>
  <sheets>
    <sheet name="SOI" sheetId="7" r:id="rId1"/>
    <sheet name="Men Classic" sheetId="2" r:id="rId2"/>
    <sheet name="Women Classic" sheetId="10" r:id="rId3"/>
    <sheet name="Men Eq " sheetId="5" r:id="rId4"/>
    <sheet name="Women Eq" sheetId="13" r:id="rId5"/>
  </sheets>
  <definedNames>
    <definedName name="_xlnm.Print_Area" localSheetId="1">'Men Classic'!$A$1:$J$341</definedName>
    <definedName name="_xlnm.Print_Area" localSheetId="3">'Men Eq '!$A$1:$J$58</definedName>
    <definedName name="_xlnm.Print_Area" localSheetId="0">SOI!$A$1:$J$20</definedName>
    <definedName name="_xlnm.Print_Area" localSheetId="2">'Women Classic'!$A$1:$J$200</definedName>
    <definedName name="_xlnm.Print_Area" localSheetId="4">'Women Eq'!$A$1:$J$35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3" l="1"/>
  <c r="J31" i="13"/>
  <c r="J30" i="13"/>
  <c r="J20" i="13"/>
  <c r="J29" i="13"/>
  <c r="J19" i="13"/>
  <c r="J35" i="13"/>
  <c r="J33" i="13"/>
  <c r="J28" i="13"/>
  <c r="J27" i="13"/>
  <c r="J24" i="13"/>
  <c r="J18" i="13"/>
  <c r="J17" i="13"/>
  <c r="J16" i="13"/>
  <c r="J13" i="13"/>
  <c r="J12" i="13"/>
  <c r="J10" i="13"/>
  <c r="J8" i="13"/>
  <c r="L333" i="2"/>
  <c r="L323" i="2"/>
</calcChain>
</file>

<file path=xl/sharedStrings.xml><?xml version="1.0" encoding="utf-8"?>
<sst xmlns="http://schemas.openxmlformats.org/spreadsheetml/2006/main" count="3464" uniqueCount="962">
  <si>
    <t>División</t>
  </si>
  <si>
    <t>Categoría</t>
  </si>
  <si>
    <t>Pos</t>
  </si>
  <si>
    <t>Total</t>
  </si>
  <si>
    <t>Open</t>
  </si>
  <si>
    <t>1.</t>
  </si>
  <si>
    <t>Liger Julexy</t>
  </si>
  <si>
    <t>2004</t>
  </si>
  <si>
    <t>Universidad Tecnica de Manabi</t>
  </si>
  <si>
    <t>102.5</t>
  </si>
  <si>
    <t>65.0</t>
  </si>
  <si>
    <t>132.5</t>
  </si>
  <si>
    <t>300.0</t>
  </si>
  <si>
    <t>Villa Johanna</t>
  </si>
  <si>
    <t>2002</t>
  </si>
  <si>
    <t>Universidad Politecnica Salesiana</t>
  </si>
  <si>
    <t>147.5</t>
  </si>
  <si>
    <t>70.0</t>
  </si>
  <si>
    <t>170.0</t>
  </si>
  <si>
    <t>387.5</t>
  </si>
  <si>
    <t>2.</t>
  </si>
  <si>
    <t>Ito Isabella Yumi</t>
  </si>
  <si>
    <t>Universidade Federal de Sao Paulo</t>
  </si>
  <si>
    <t>95.0</t>
  </si>
  <si>
    <t>67.5</t>
  </si>
  <si>
    <t>153.0</t>
  </si>
  <si>
    <t>315.5</t>
  </si>
  <si>
    <t>Mora Baez Luna Paulina</t>
  </si>
  <si>
    <t>2001</t>
  </si>
  <si>
    <t>Universidad Andres Bello</t>
  </si>
  <si>
    <t>160.0</t>
  </si>
  <si>
    <t>85.0</t>
  </si>
  <si>
    <t>405.0</t>
  </si>
  <si>
    <t>Gell Kaylane Moraes</t>
  </si>
  <si>
    <t>2003</t>
  </si>
  <si>
    <t>207.5</t>
  </si>
  <si>
    <t>92.5</t>
  </si>
  <si>
    <t>185.0</t>
  </si>
  <si>
    <t>485.0</t>
  </si>
  <si>
    <t>Najarro Lya</t>
  </si>
  <si>
    <t>UNIVERSIDAD PERUANA DE CIENCIAS</t>
  </si>
  <si>
    <t>82.5</t>
  </si>
  <si>
    <t>155.0</t>
  </si>
  <si>
    <t>397.5</t>
  </si>
  <si>
    <t>Duran Freig Catalina Ignacia</t>
  </si>
  <si>
    <t>2006</t>
  </si>
  <si>
    <t>Universidad Diego Portales</t>
  </si>
  <si>
    <t>142.5</t>
  </si>
  <si>
    <t>75.5</t>
  </si>
  <si>
    <t>166.0</t>
  </si>
  <si>
    <t>384.0</t>
  </si>
  <si>
    <t>Leon Franklin</t>
  </si>
  <si>
    <t>1983</t>
  </si>
  <si>
    <t>Ecuador</t>
  </si>
  <si>
    <t>242.5</t>
  </si>
  <si>
    <t>135.0</t>
  </si>
  <si>
    <t>225.0</t>
  </si>
  <si>
    <t>602.5</t>
  </si>
  <si>
    <t>Argentina</t>
  </si>
  <si>
    <t>210.0</t>
  </si>
  <si>
    <t>120.0</t>
  </si>
  <si>
    <t>245.0</t>
  </si>
  <si>
    <t>3.</t>
  </si>
  <si>
    <t>Medina Villegas Geanmarco Cassiell</t>
  </si>
  <si>
    <t>1989</t>
  </si>
  <si>
    <t>180.0</t>
  </si>
  <si>
    <t>100.0</t>
  </si>
  <si>
    <t>200.0</t>
  </si>
  <si>
    <t>Chura Gutierrez Franz Jhonatan</t>
  </si>
  <si>
    <t>2000</t>
  </si>
  <si>
    <t>7.</t>
  </si>
  <si>
    <t>Vargas Llanllan Jose Luis</t>
  </si>
  <si>
    <t>1996</t>
  </si>
  <si>
    <t>Chile</t>
  </si>
  <si>
    <t>152.5</t>
  </si>
  <si>
    <t>407.5</t>
  </si>
  <si>
    <t>Cedeno Diego</t>
  </si>
  <si>
    <t>2007</t>
  </si>
  <si>
    <t>222.5</t>
  </si>
  <si>
    <t>622.5</t>
  </si>
  <si>
    <t>Ferrari Medina Luis</t>
  </si>
  <si>
    <t>1994</t>
  </si>
  <si>
    <t>Peru</t>
  </si>
  <si>
    <t>220.0</t>
  </si>
  <si>
    <t>140.0</t>
  </si>
  <si>
    <t>260.0</t>
  </si>
  <si>
    <t>620.0</t>
  </si>
  <si>
    <t>Ghizoni Gabriel</t>
  </si>
  <si>
    <t>1999</t>
  </si>
  <si>
    <t>Brazil</t>
  </si>
  <si>
    <t>127.5</t>
  </si>
  <si>
    <t>265.0</t>
  </si>
  <si>
    <t>600.0</t>
  </si>
  <si>
    <t>Coto Brayan</t>
  </si>
  <si>
    <t>230.0</t>
  </si>
  <si>
    <t>595.0</t>
  </si>
  <si>
    <t>Duran Araya Diego</t>
  </si>
  <si>
    <t>1995</t>
  </si>
  <si>
    <t>195.0</t>
  </si>
  <si>
    <t>130.0</t>
  </si>
  <si>
    <t>257.5</t>
  </si>
  <si>
    <t>582.5</t>
  </si>
  <si>
    <t>Fris Denzel</t>
  </si>
  <si>
    <t>1997</t>
  </si>
  <si>
    <t>Suriname</t>
  </si>
  <si>
    <t>192.5</t>
  </si>
  <si>
    <t>122.5</t>
  </si>
  <si>
    <t>255.0</t>
  </si>
  <si>
    <t>570.0</t>
  </si>
  <si>
    <t>Colombia</t>
  </si>
  <si>
    <t>115.0</t>
  </si>
  <si>
    <t>Santelices Renzo</t>
  </si>
  <si>
    <t>282.5</t>
  </si>
  <si>
    <t>680.0</t>
  </si>
  <si>
    <t>Otero Tomas</t>
  </si>
  <si>
    <t>Pulecio Giron Juan Esteban</t>
  </si>
  <si>
    <t>250.0</t>
  </si>
  <si>
    <t>165.0</t>
  </si>
  <si>
    <t>675.0</t>
  </si>
  <si>
    <t>Lago Cesar</t>
  </si>
  <si>
    <t>1992</t>
  </si>
  <si>
    <t>280.0</t>
  </si>
  <si>
    <t>670.0</t>
  </si>
  <si>
    <t>Yovera Alex</t>
  </si>
  <si>
    <t>235.0</t>
  </si>
  <si>
    <t>178.0</t>
  </si>
  <si>
    <t>668.0</t>
  </si>
  <si>
    <t>Barquin Diego</t>
  </si>
  <si>
    <t>Uruguay</t>
  </si>
  <si>
    <t>660.0</t>
  </si>
  <si>
    <t>Thomas Vargas Roberto</t>
  </si>
  <si>
    <t>1988</t>
  </si>
  <si>
    <t>150.0</t>
  </si>
  <si>
    <t>640.0</t>
  </si>
  <si>
    <t>Rivero Villegas Ronald</t>
  </si>
  <si>
    <t>Bolivia</t>
  </si>
  <si>
    <t>Bringuenti Bruno Borovoy</t>
  </si>
  <si>
    <t>270.0</t>
  </si>
  <si>
    <t>625.0</t>
  </si>
  <si>
    <t>1998</t>
  </si>
  <si>
    <t>215.0</t>
  </si>
  <si>
    <t>Guyana</t>
  </si>
  <si>
    <t>262.5</t>
  </si>
  <si>
    <t>615.0</t>
  </si>
  <si>
    <t>Lins Pedro</t>
  </si>
  <si>
    <t>1993</t>
  </si>
  <si>
    <t>232.5</t>
  </si>
  <si>
    <t>237.5</t>
  </si>
  <si>
    <t>Castillo Jose</t>
  </si>
  <si>
    <t>1986</t>
  </si>
  <si>
    <t>310.0</t>
  </si>
  <si>
    <t>790.0</t>
  </si>
  <si>
    <t>Figueroa Contreras Jose</t>
  </si>
  <si>
    <t>290.0</t>
  </si>
  <si>
    <t>200.5</t>
  </si>
  <si>
    <t>285.0</t>
  </si>
  <si>
    <t>775.5</t>
  </si>
  <si>
    <t>275.0</t>
  </si>
  <si>
    <t>182.5</t>
  </si>
  <si>
    <t>Minamoto Shoody</t>
  </si>
  <si>
    <t>275.5</t>
  </si>
  <si>
    <t>145.0</t>
  </si>
  <si>
    <t>710.5</t>
  </si>
  <si>
    <t>Terzano Nahuel</t>
  </si>
  <si>
    <t>710.0</t>
  </si>
  <si>
    <t>de Matos Felipe Spinelli</t>
  </si>
  <si>
    <t>240.0</t>
  </si>
  <si>
    <t>Chan Demetri</t>
  </si>
  <si>
    <t>205.0</t>
  </si>
  <si>
    <t>Villon Moises</t>
  </si>
  <si>
    <t>292.5</t>
  </si>
  <si>
    <t>765.0</t>
  </si>
  <si>
    <t>Gimenez Ramiro</t>
  </si>
  <si>
    <t>295.0</t>
  </si>
  <si>
    <t>755.0</t>
  </si>
  <si>
    <t>272.0</t>
  </si>
  <si>
    <t>172.5</t>
  </si>
  <si>
    <t>305.0</t>
  </si>
  <si>
    <t>Maitta Dandy</t>
  </si>
  <si>
    <t>747.5</t>
  </si>
  <si>
    <t>Osses Contreras Benjamin</t>
  </si>
  <si>
    <t>740.0</t>
  </si>
  <si>
    <t>Saramago Eduardo</t>
  </si>
  <si>
    <t>272.5</t>
  </si>
  <si>
    <t>737.5</t>
  </si>
  <si>
    <t>dos Santos Santiago</t>
  </si>
  <si>
    <t>175.0</t>
  </si>
  <si>
    <t>735.0</t>
  </si>
  <si>
    <t>Maciel Sebantian</t>
  </si>
  <si>
    <t>645.0</t>
  </si>
  <si>
    <t>Vancooten Omali</t>
  </si>
  <si>
    <t>247.5</t>
  </si>
  <si>
    <t>John Joshua</t>
  </si>
  <si>
    <t>607.5</t>
  </si>
  <si>
    <t>580.0</t>
  </si>
  <si>
    <t>Arevalo Pena Bastian</t>
  </si>
  <si>
    <t>187.5</t>
  </si>
  <si>
    <t>330.0</t>
  </si>
  <si>
    <t>822.5</t>
  </si>
  <si>
    <t>Nascimento Leonardo Fabricio</t>
  </si>
  <si>
    <t>302.5</t>
  </si>
  <si>
    <t>Antonuccio Lautaro</t>
  </si>
  <si>
    <t>328.0</t>
  </si>
  <si>
    <t>790.5</t>
  </si>
  <si>
    <t>Mondelli Nicolas</t>
  </si>
  <si>
    <t>287.5</t>
  </si>
  <si>
    <t>767.5</t>
  </si>
  <si>
    <t>Ade-Thomas Anis</t>
  </si>
  <si>
    <t>312.5</t>
  </si>
  <si>
    <t>722.5</t>
  </si>
  <si>
    <t>King Sereste</t>
  </si>
  <si>
    <t>647.5</t>
  </si>
  <si>
    <t>Cardoso Gomes Davi</t>
  </si>
  <si>
    <t>337.5</t>
  </si>
  <si>
    <t>335.0</t>
  </si>
  <si>
    <t>867.5</t>
  </si>
  <si>
    <t>Mora Fabricio Leonel</t>
  </si>
  <si>
    <t>320.0</t>
  </si>
  <si>
    <t>792.5</t>
  </si>
  <si>
    <t>Rodriguez Federico</t>
  </si>
  <si>
    <t>297.5</t>
  </si>
  <si>
    <t>782.5</t>
  </si>
  <si>
    <t>Carovillano Tayger</t>
  </si>
  <si>
    <t>315.0</t>
  </si>
  <si>
    <t>780.0</t>
  </si>
  <si>
    <t>Rodriguez Dante</t>
  </si>
  <si>
    <t>770.0</t>
  </si>
  <si>
    <t>Moya Moya Alfonso Esteban</t>
  </si>
  <si>
    <t>750.0</t>
  </si>
  <si>
    <t>1990</t>
  </si>
  <si>
    <t>177.0</t>
  </si>
  <si>
    <t>Ramirez Eduardo</t>
  </si>
  <si>
    <t>722.0</t>
  </si>
  <si>
    <t>Bernard Pablo</t>
  </si>
  <si>
    <t>697.5</t>
  </si>
  <si>
    <t>Mardones Meza Sergio</t>
  </si>
  <si>
    <t>420.0</t>
  </si>
  <si>
    <t>952.5</t>
  </si>
  <si>
    <t>Garcez Gustavo de Mello</t>
  </si>
  <si>
    <t>350.0</t>
  </si>
  <si>
    <t>872.5</t>
  </si>
  <si>
    <t>Alves Jonathan Coelho</t>
  </si>
  <si>
    <t>325.0</t>
  </si>
  <si>
    <t>840.0</t>
  </si>
  <si>
    <t>662.5</t>
  </si>
  <si>
    <t>Gomez Camilo</t>
  </si>
  <si>
    <t>2008</t>
  </si>
  <si>
    <t>112.5</t>
  </si>
  <si>
    <t>557.0</t>
  </si>
  <si>
    <t>510.0</t>
  </si>
  <si>
    <t>Manzano Zuniga Sebastian Alexander</t>
  </si>
  <si>
    <t>Rotta Gabriel Augusto</t>
  </si>
  <si>
    <t>105.0</t>
  </si>
  <si>
    <t>465.0</t>
  </si>
  <si>
    <t>Cardoso Fabricio Alves</t>
  </si>
  <si>
    <t>190.0</t>
  </si>
  <si>
    <t>110.0</t>
  </si>
  <si>
    <t>260.5</t>
  </si>
  <si>
    <t>560.5</t>
  </si>
  <si>
    <t>Santisteban Oscar</t>
  </si>
  <si>
    <t>555.0</t>
  </si>
  <si>
    <t>Sotomayor Sanhueza Felipe Ignacio</t>
  </si>
  <si>
    <t>107.5</t>
  </si>
  <si>
    <t>482.5</t>
  </si>
  <si>
    <t>Gonzalez Cordoba Felipe Alexander</t>
  </si>
  <si>
    <t>2009</t>
  </si>
  <si>
    <t>Chock Diego</t>
  </si>
  <si>
    <t>627.5</t>
  </si>
  <si>
    <t>125.0</t>
  </si>
  <si>
    <t>Andrade Potosi Jorge Luis</t>
  </si>
  <si>
    <t>592.5</t>
  </si>
  <si>
    <t>560.0</t>
  </si>
  <si>
    <t>Lima Andre</t>
  </si>
  <si>
    <t>211.0</t>
  </si>
  <si>
    <t>117.5</t>
  </si>
  <si>
    <t>558.5</t>
  </si>
  <si>
    <t>Velasquez Schulz Antonio Lorenzo</t>
  </si>
  <si>
    <t>Colombo Santiago</t>
  </si>
  <si>
    <t>130.5</t>
  </si>
  <si>
    <t>510.5</t>
  </si>
  <si>
    <t>Fernandez Choque Victor Alejandro</t>
  </si>
  <si>
    <t>Oliveira Thayd da Silva</t>
  </si>
  <si>
    <t>635.0</t>
  </si>
  <si>
    <t>Cabrera Vargas Allan David</t>
  </si>
  <si>
    <t>155.5</t>
  </si>
  <si>
    <t>633.0</t>
  </si>
  <si>
    <t>Gamboa Contreras Martin Gabriel</t>
  </si>
  <si>
    <t>Godoy Cerda Arturo Javier</t>
  </si>
  <si>
    <t>144.0</t>
  </si>
  <si>
    <t>629.0</t>
  </si>
  <si>
    <t>Romero Federico</t>
  </si>
  <si>
    <t>Chein Jeremias</t>
  </si>
  <si>
    <t>212.5</t>
  </si>
  <si>
    <t>562.5</t>
  </si>
  <si>
    <t>Villalobos Angel</t>
  </si>
  <si>
    <t>107.0</t>
  </si>
  <si>
    <t>537.0</t>
  </si>
  <si>
    <t>137.5</t>
  </si>
  <si>
    <t>Simoes Ruan</t>
  </si>
  <si>
    <t>233.5</t>
  </si>
  <si>
    <t>149.0</t>
  </si>
  <si>
    <t>267.0</t>
  </si>
  <si>
    <t>649.5</t>
  </si>
  <si>
    <t>Zevallos Alan</t>
  </si>
  <si>
    <t>142.0</t>
  </si>
  <si>
    <t>642.5</t>
  </si>
  <si>
    <t>Cordeiro Andre</t>
  </si>
  <si>
    <t>227.5</t>
  </si>
  <si>
    <t>148.5</t>
  </si>
  <si>
    <t>616.0</t>
  </si>
  <si>
    <t>Corro Urtubia Diego Ricardo</t>
  </si>
  <si>
    <t>Pereira Lautaro</t>
  </si>
  <si>
    <t>587.5</t>
  </si>
  <si>
    <t>Olivares Guerra Crescente</t>
  </si>
  <si>
    <t>227.0</t>
  </si>
  <si>
    <t>Nunez Ariel</t>
  </si>
  <si>
    <t>540.0</t>
  </si>
  <si>
    <t>Silva Joao V. R. F.</t>
  </si>
  <si>
    <t>723.0</t>
  </si>
  <si>
    <t>Gohara Willians Yukio</t>
  </si>
  <si>
    <t>258.0</t>
  </si>
  <si>
    <t>303.5</t>
  </si>
  <si>
    <t>691.5</t>
  </si>
  <si>
    <t>Martinez Soto Francisco Orlando</t>
  </si>
  <si>
    <t>Juniors</t>
  </si>
  <si>
    <t>57.5</t>
  </si>
  <si>
    <t>167.5</t>
  </si>
  <si>
    <t>345.0</t>
  </si>
  <si>
    <t>Borbor Juan</t>
  </si>
  <si>
    <t>530.0</t>
  </si>
  <si>
    <t>525.0</t>
  </si>
  <si>
    <t>Mendoza Pena Alejandro</t>
  </si>
  <si>
    <t>487.5</t>
  </si>
  <si>
    <t>197.5</t>
  </si>
  <si>
    <t>Soruco Jauregui Rodrigo</t>
  </si>
  <si>
    <t>Zavala Aaron</t>
  </si>
  <si>
    <t>452.5</t>
  </si>
  <si>
    <t>Techera Emmanuel</t>
  </si>
  <si>
    <t>612.5</t>
  </si>
  <si>
    <t>Cornejo Salfate Javier Nicolas</t>
  </si>
  <si>
    <t>Arce Pinilla Joaquin Alonso</t>
  </si>
  <si>
    <t>145.5</t>
  </si>
  <si>
    <t>583.0</t>
  </si>
  <si>
    <t>Rodriguez Fierro Manuel</t>
  </si>
  <si>
    <t>553.0</t>
  </si>
  <si>
    <t>90.0</t>
  </si>
  <si>
    <t>Sarasua Joaquin</t>
  </si>
  <si>
    <t>253.0</t>
  </si>
  <si>
    <t>162.5</t>
  </si>
  <si>
    <t>685.5</t>
  </si>
  <si>
    <t>Azcoitia Anthony</t>
  </si>
  <si>
    <t>2005</t>
  </si>
  <si>
    <t>677.0</t>
  </si>
  <si>
    <t>Maidana Joaquin</t>
  </si>
  <si>
    <t>652.5</t>
  </si>
  <si>
    <t>Luna Braian Nicolas</t>
  </si>
  <si>
    <t>251.0</t>
  </si>
  <si>
    <t>157.5</t>
  </si>
  <si>
    <t>639.0</t>
  </si>
  <si>
    <t>Vergara Meza Benjamin Eduardo</t>
  </si>
  <si>
    <t>630.0</t>
  </si>
  <si>
    <t>Medina Montano Juan</t>
  </si>
  <si>
    <t>Lara Zapata Agustin Maximiliano</t>
  </si>
  <si>
    <t>Cunha Gustavo Alves</t>
  </si>
  <si>
    <t>Sandoval Jimenez Marco Sebastian</t>
  </si>
  <si>
    <t>Garrido Salazar Jose Manuel</t>
  </si>
  <si>
    <t>176.0</t>
  </si>
  <si>
    <t>736.5</t>
  </si>
  <si>
    <t>Lopez Garcia Francisco</t>
  </si>
  <si>
    <t>665.0</t>
  </si>
  <si>
    <t>Coello Stalin</t>
  </si>
  <si>
    <t>267.5</t>
  </si>
  <si>
    <t>Hidalgo Isaac</t>
  </si>
  <si>
    <t>da Silva Felipe Pereira</t>
  </si>
  <si>
    <t>Obando Diego</t>
  </si>
  <si>
    <t>Mendez Nicolas</t>
  </si>
  <si>
    <t>Higuimaran Elias</t>
  </si>
  <si>
    <t>Fiesta Mollinedo David</t>
  </si>
  <si>
    <t>Karwofodi Jared</t>
  </si>
  <si>
    <t>261.0</t>
  </si>
  <si>
    <t>603.5</t>
  </si>
  <si>
    <t>Alexander Meshach</t>
  </si>
  <si>
    <t>527.5</t>
  </si>
  <si>
    <t>Valdez Davi</t>
  </si>
  <si>
    <t>313.5</t>
  </si>
  <si>
    <t>748.5</t>
  </si>
  <si>
    <t>Embacher Gabriel</t>
  </si>
  <si>
    <t>313.0</t>
  </si>
  <si>
    <t>748.0</t>
  </si>
  <si>
    <t>Brunz Ramiro Alejo</t>
  </si>
  <si>
    <t>720.0</t>
  </si>
  <si>
    <t>Bayardi Agustin</t>
  </si>
  <si>
    <t>277.5</t>
  </si>
  <si>
    <t>296.0</t>
  </si>
  <si>
    <t>716.0</t>
  </si>
  <si>
    <t>Navarro Escobar Esteban Sebastian</t>
  </si>
  <si>
    <t>Malnatti Tobias</t>
  </si>
  <si>
    <t>702.5</t>
  </si>
  <si>
    <t>Garcia Mateo</t>
  </si>
  <si>
    <t>690.0</t>
  </si>
  <si>
    <t>Villamizar Portilla Miguel Angel</t>
  </si>
  <si>
    <t>Batson Oslen</t>
  </si>
  <si>
    <t>565.0</t>
  </si>
  <si>
    <t>Soares Ismael Espinoza</t>
  </si>
  <si>
    <t>765.5</t>
  </si>
  <si>
    <t>Oliveira Vinicius</t>
  </si>
  <si>
    <t>291.0</t>
  </si>
  <si>
    <t>306.5</t>
  </si>
  <si>
    <t>Perez Coninir Yohan Alejando</t>
  </si>
  <si>
    <t>Caballero Benicio</t>
  </si>
  <si>
    <t>760.0</t>
  </si>
  <si>
    <t>Abrahan Ciro</t>
  </si>
  <si>
    <t>Navarrete Saavedra Jesus Ignacio</t>
  </si>
  <si>
    <t>Albornoz Salvador</t>
  </si>
  <si>
    <t>772.5</t>
  </si>
  <si>
    <t>Thierry Thiago</t>
  </si>
  <si>
    <t>725.0</t>
  </si>
  <si>
    <t>Stamm Igor</t>
  </si>
  <si>
    <t>Sotelo Mauro Agustin</t>
  </si>
  <si>
    <t>687.5</t>
  </si>
  <si>
    <t>Willker Victor</t>
  </si>
  <si>
    <t>195.5</t>
  </si>
  <si>
    <t>380.0</t>
  </si>
  <si>
    <t>895.5</t>
  </si>
  <si>
    <t>Castano Puerta Jesus</t>
  </si>
  <si>
    <t>Ki-Ahong Jean-Pierre</t>
  </si>
  <si>
    <t>Pina Rodriguez Simon Eduardo</t>
  </si>
  <si>
    <t>Mena Aballay Cristobal Nicolas</t>
  </si>
  <si>
    <t>1978</t>
  </si>
  <si>
    <t>Barbieri Thiago Romao</t>
  </si>
  <si>
    <t>Camilo Eduardo</t>
  </si>
  <si>
    <t>1982</t>
  </si>
  <si>
    <t>Tapa Marco</t>
  </si>
  <si>
    <t>177.5</t>
  </si>
  <si>
    <t>500.0</t>
  </si>
  <si>
    <t>Drinfeld Daniel</t>
  </si>
  <si>
    <t>491.0</t>
  </si>
  <si>
    <t>Sanchez Juan</t>
  </si>
  <si>
    <t>400.0</t>
  </si>
  <si>
    <t>Chaﬂoque Dennis</t>
  </si>
  <si>
    <t>Hetsberger Duarte</t>
  </si>
  <si>
    <t>1981</t>
  </si>
  <si>
    <t>Marquez Richard</t>
  </si>
  <si>
    <t>1979</t>
  </si>
  <si>
    <t>Matthew Maycock</t>
  </si>
  <si>
    <t>517.5</t>
  </si>
  <si>
    <t>Pastre Rafael</t>
  </si>
  <si>
    <t>1984</t>
  </si>
  <si>
    <t>Loayza Ruben</t>
  </si>
  <si>
    <t>1977</t>
  </si>
  <si>
    <t>Benoit Martin</t>
  </si>
  <si>
    <t>1985</t>
  </si>
  <si>
    <t>Stelet Fernandes Leonardo</t>
  </si>
  <si>
    <t>217.5</t>
  </si>
  <si>
    <t>Correa Silva Julio Cesar</t>
  </si>
  <si>
    <t>515.0</t>
  </si>
  <si>
    <t>King Tremel</t>
  </si>
  <si>
    <t>Williams Bjorn</t>
  </si>
  <si>
    <t>307.5</t>
  </si>
  <si>
    <t>715.0</t>
  </si>
  <si>
    <t>Bentancor Victor</t>
  </si>
  <si>
    <t>655.0</t>
  </si>
  <si>
    <t>Alves Reginaldo Aparecido</t>
  </si>
  <si>
    <t>Cantantore Alejandro</t>
  </si>
  <si>
    <t>1980</t>
  </si>
  <si>
    <t>Ahumada Zamora Luis Miguel</t>
  </si>
  <si>
    <t>Leone Rafael Alves</t>
  </si>
  <si>
    <t>Nunez Borja Chirinos Gonzalo</t>
  </si>
  <si>
    <t>1976</t>
  </si>
  <si>
    <t>Brisport - Luke Franklyn</t>
  </si>
  <si>
    <t>1968</t>
  </si>
  <si>
    <t>363.0</t>
  </si>
  <si>
    <t>Serfaty Ruben</t>
  </si>
  <si>
    <t>1975</t>
  </si>
  <si>
    <t>Nakama Hokamura Kenji</t>
  </si>
  <si>
    <t>1974</t>
  </si>
  <si>
    <t>448.5</t>
  </si>
  <si>
    <t>Souza Dirney</t>
  </si>
  <si>
    <t>1969</t>
  </si>
  <si>
    <t>445.5</t>
  </si>
  <si>
    <t>Carvalho Remi</t>
  </si>
  <si>
    <t>557.5</t>
  </si>
  <si>
    <t>Chatt Cidinei</t>
  </si>
  <si>
    <t>1972</t>
  </si>
  <si>
    <t>Taboada Valentin</t>
  </si>
  <si>
    <t>1973</t>
  </si>
  <si>
    <t>495.0</t>
  </si>
  <si>
    <t>Contreras Vega Juan</t>
  </si>
  <si>
    <t>1971</t>
  </si>
  <si>
    <t>Perez Enrique</t>
  </si>
  <si>
    <t>1967</t>
  </si>
  <si>
    <t>Fuentes Salinas Jhon Cristian</t>
  </si>
  <si>
    <t>Dias Ricardo Grassi</t>
  </si>
  <si>
    <t>245.5</t>
  </si>
  <si>
    <t>513.0</t>
  </si>
  <si>
    <t>Moncayo Marlon</t>
  </si>
  <si>
    <t>Urioste Nicolas</t>
  </si>
  <si>
    <t>Poloni Mariano</t>
  </si>
  <si>
    <t>97.5</t>
  </si>
  <si>
    <t>547.5</t>
  </si>
  <si>
    <t>Rogers Roger</t>
  </si>
  <si>
    <t>Baltuano Abel</t>
  </si>
  <si>
    <t>Carrasco Gonzales Jacob</t>
  </si>
  <si>
    <t>1966</t>
  </si>
  <si>
    <t>Burgos Carlos</t>
  </si>
  <si>
    <t>1964</t>
  </si>
  <si>
    <t>Pereira Laercio Eustaquio</t>
  </si>
  <si>
    <t>1962</t>
  </si>
  <si>
    <t>80.0</t>
  </si>
  <si>
    <t>455.0</t>
  </si>
  <si>
    <t>Agostino Hugo</t>
  </si>
  <si>
    <t>Nakasone Julian Juniti</t>
  </si>
  <si>
    <t>25.0</t>
  </si>
  <si>
    <t>75.0</t>
  </si>
  <si>
    <t>Selem Jose</t>
  </si>
  <si>
    <t>1965</t>
  </si>
  <si>
    <t>Aristi Oscar</t>
  </si>
  <si>
    <t>Botura Clodoaldo</t>
  </si>
  <si>
    <t>395.0</t>
  </si>
  <si>
    <t>Cruz Alvarez Jose</t>
  </si>
  <si>
    <t>Zerpa Luis</t>
  </si>
  <si>
    <t>430.0</t>
  </si>
  <si>
    <t>Sauma Marcel</t>
  </si>
  <si>
    <t>Barboza Federico</t>
  </si>
  <si>
    <t>Camargo Faria Rafael</t>
  </si>
  <si>
    <t>Abdo Fernando</t>
  </si>
  <si>
    <t>Santos Jackson</t>
  </si>
  <si>
    <t>1991</t>
  </si>
  <si>
    <t>Hernandez Sandoval Cristobal Andres</t>
  </si>
  <si>
    <t>Carrasco Flores Nicolas</t>
  </si>
  <si>
    <t>Gomes Joao Pedro</t>
  </si>
  <si>
    <t>dos Santos Matheus Sousa</t>
  </si>
  <si>
    <t>Schmidt Gabriel</t>
  </si>
  <si>
    <t>Narvaez Arriagada Jesus Andres</t>
  </si>
  <si>
    <t>Leo Menazi Franco</t>
  </si>
  <si>
    <t>Ramos Valenzuela Diego Sebastian</t>
  </si>
  <si>
    <t>Hafez Ziad</t>
  </si>
  <si>
    <t>Azzoni Valentino</t>
  </si>
  <si>
    <t>da Costa Bernardo Goncalves</t>
  </si>
  <si>
    <t>Goncalves Pedro Henrique</t>
  </si>
  <si>
    <t>Asimbaya Brando</t>
  </si>
  <si>
    <t>Pita Miguel</t>
  </si>
  <si>
    <t>Xavier Pedro Antonio</t>
  </si>
  <si>
    <t>dos Santos Joao Vitor</t>
  </si>
  <si>
    <t>Borgo Tiago</t>
  </si>
  <si>
    <t>Santos Guilherme</t>
  </si>
  <si>
    <t>202.5</t>
  </si>
  <si>
    <t>Emidio Carlos</t>
  </si>
  <si>
    <t>Nunez Borja Gonzalo</t>
  </si>
  <si>
    <t>Madureira Paulo Sergio</t>
  </si>
  <si>
    <t>Oliveira Fabio Mastromauro</t>
  </si>
  <si>
    <t>Furtado Diogenes Alencar</t>
  </si>
  <si>
    <t>Belmiro Pedro</t>
  </si>
  <si>
    <t>1951</t>
  </si>
  <si>
    <t>Nunez Rodriguez Martin Andres</t>
  </si>
  <si>
    <t>Briones Basoalto Guillermo Arturo</t>
  </si>
  <si>
    <t>Pizarro Arroyo Felipe Antonio</t>
  </si>
  <si>
    <t>Silva Cleverson</t>
  </si>
  <si>
    <t>Hallier Luis</t>
  </si>
  <si>
    <t>Encina Ricardo</t>
  </si>
  <si>
    <t>650.0</t>
  </si>
  <si>
    <t>Soria Fernando</t>
  </si>
  <si>
    <t>Tamasar Navindra</t>
  </si>
  <si>
    <t>Ochoa Alex</t>
  </si>
  <si>
    <t>825.0</t>
  </si>
  <si>
    <t>Villanueva Henrry</t>
  </si>
  <si>
    <t>685.0</t>
  </si>
  <si>
    <t>Zambrano Handy</t>
  </si>
  <si>
    <t>360.0</t>
  </si>
  <si>
    <t>900.0</t>
  </si>
  <si>
    <t>332.5</t>
  </si>
  <si>
    <t>860.0</t>
  </si>
  <si>
    <t>Freitas Luan Pereira</t>
  </si>
  <si>
    <t>Coutinho Arthur</t>
  </si>
  <si>
    <t>Fernandez Ospina Johan Ricardo</t>
  </si>
  <si>
    <t>365.0</t>
  </si>
  <si>
    <t>Casanova Cristian</t>
  </si>
  <si>
    <t>1987</t>
  </si>
  <si>
    <t>327.5</t>
  </si>
  <si>
    <t>Pambaquishpe Mike</t>
  </si>
  <si>
    <t>700.0</t>
  </si>
  <si>
    <t>Vinueza Jorge</t>
  </si>
  <si>
    <t>Caisa Yandri</t>
  </si>
  <si>
    <t>317.5</t>
  </si>
  <si>
    <t>762.5</t>
  </si>
  <si>
    <t>de Sousa Tiago Henrique</t>
  </si>
  <si>
    <t>537.5</t>
  </si>
  <si>
    <t>Montecinos Alarcon Lucas</t>
  </si>
  <si>
    <t>677.5</t>
  </si>
  <si>
    <t>Oishi Eric</t>
  </si>
  <si>
    <t>705.0</t>
  </si>
  <si>
    <t>Fongaro Ricardo</t>
  </si>
  <si>
    <t>Medina Juan</t>
  </si>
  <si>
    <t>730.0</t>
  </si>
  <si>
    <t>Rivera Pedro</t>
  </si>
  <si>
    <t>Carlos de Paula Edson</t>
  </si>
  <si>
    <t>Jeltsin Miraba</t>
  </si>
  <si>
    <t>Universidad Estatal Peninsula de Santa Elena</t>
  </si>
  <si>
    <t>de Souza Luis Carlos Goncalves</t>
  </si>
  <si>
    <t>Peruvian University of Applied Sciences</t>
  </si>
  <si>
    <t>Menendez Jeyko</t>
  </si>
  <si>
    <t>UNIVERSIDAD CATOLICA DE SANTIAGO DE GUAYAQUIL</t>
  </si>
  <si>
    <t>Salinas Tapia Benjamin Matias</t>
  </si>
  <si>
    <t>Bayona Ardila Sebastian</t>
  </si>
  <si>
    <t>Universidad Libre</t>
  </si>
  <si>
    <t>125.5</t>
  </si>
  <si>
    <t>Centurion Gustavo</t>
  </si>
  <si>
    <t>450.0</t>
  </si>
  <si>
    <t>Leon Alejandro</t>
  </si>
  <si>
    <t>657.5</t>
  </si>
  <si>
    <t>Correa Brito Leandro Steven</t>
  </si>
  <si>
    <t>Universidad de Pamplona</t>
  </si>
  <si>
    <t>590.0</t>
  </si>
  <si>
    <t>Quirola Alejandro</t>
  </si>
  <si>
    <t>Universidad Central del Ecuador</t>
  </si>
  <si>
    <t>Conejera Figueroa Jose Manuel</t>
  </si>
  <si>
    <t>de Paiva Thiago Ramos</t>
  </si>
  <si>
    <t>Pontiﬁcia Universidade Catolica do Rio de Janeiro</t>
  </si>
  <si>
    <t>Rieutord Lira Felipe Inaki</t>
  </si>
  <si>
    <t>Universidad Autonoma De Chile</t>
  </si>
  <si>
    <t>708.0</t>
  </si>
  <si>
    <t>Perez Tapia Francisco Javier</t>
  </si>
  <si>
    <t>Universidad Bernardo OHiggins</t>
  </si>
  <si>
    <t>Pontiﬁcia Universidad Catolica del Ecuador</t>
  </si>
  <si>
    <t>Universidad Bolivariana del Ecuador</t>
  </si>
  <si>
    <t>Cristofolini Samuel Enderson</t>
  </si>
  <si>
    <t>Ortiz Guevara Samuel</t>
  </si>
  <si>
    <t>Instituto Colombiano de Estudios Superiores de INCOLDA</t>
  </si>
  <si>
    <t>Ribeiro Angelo Henrique</t>
  </si>
  <si>
    <t>UNICIVE</t>
  </si>
  <si>
    <t>Galvez Ramos Emilio Clemente Ignacio</t>
  </si>
  <si>
    <t>Copello Joao Pedro de Sa</t>
  </si>
  <si>
    <t>Universidade Cruzeiro do Sul</t>
  </si>
  <si>
    <t>Herrera Jose</t>
  </si>
  <si>
    <t>Calligaris Nicolas Menegatti</t>
  </si>
  <si>
    <t>UNICESUMAR</t>
  </si>
  <si>
    <t>300.5</t>
  </si>
  <si>
    <t>675.5</t>
  </si>
  <si>
    <t>Rojas Valdes Tomas Benjamin</t>
  </si>
  <si>
    <t>Goelzer Luiz Henrique</t>
  </si>
  <si>
    <t>Universidade Federal do Parana</t>
  </si>
  <si>
    <t>288.0</t>
  </si>
  <si>
    <t>645.5</t>
  </si>
  <si>
    <t>Landon Osorio Andres</t>
  </si>
  <si>
    <t>Universidad Adolfo Ibanez</t>
  </si>
  <si>
    <t>795.5</t>
  </si>
  <si>
    <t>Villegas Luis</t>
  </si>
  <si>
    <t>167.0</t>
  </si>
  <si>
    <t>Gonzalez Vivanco Vicente Salvador</t>
  </si>
  <si>
    <t>60.0</t>
  </si>
  <si>
    <t>45.0</t>
  </si>
  <si>
    <t>2010</t>
  </si>
  <si>
    <t>Tapia Inda Joaquin Alfonso</t>
  </si>
  <si>
    <t>30.0</t>
  </si>
  <si>
    <t>55.0</t>
  </si>
  <si>
    <t>Brito Peralta Edmundo Alberto</t>
  </si>
  <si>
    <t>Ramirez Carvajal Samuel</t>
  </si>
  <si>
    <t>50.0</t>
  </si>
  <si>
    <t>Mujica Diaz Sergio David</t>
  </si>
  <si>
    <t>Valdes Araya Bruno Alberto</t>
  </si>
  <si>
    <t>Mendoza Hoyos Arnol Luisin</t>
  </si>
  <si>
    <t>95.5</t>
  </si>
  <si>
    <t>Gatica Sanchez Nicole Tamara Andrea</t>
  </si>
  <si>
    <t>72.5</t>
  </si>
  <si>
    <t>Martinez Natalia</t>
  </si>
  <si>
    <t>Moro Ana Emilia Severiano</t>
  </si>
  <si>
    <t>Collazo Carmen</t>
  </si>
  <si>
    <t>115.5</t>
  </si>
  <si>
    <t>Sergina da Silva Paula Naara</t>
  </si>
  <si>
    <t>Gutierrez Lilia</t>
  </si>
  <si>
    <t>Trucido Luciana</t>
  </si>
  <si>
    <t>Correa Miquinioty Larissa</t>
  </si>
  <si>
    <t>Gauthier Paulina</t>
  </si>
  <si>
    <t>Joseph Kezia</t>
  </si>
  <si>
    <t>Maria Sol Karaoghlanian</t>
  </si>
  <si>
    <t>Gonzalez Morena</t>
  </si>
  <si>
    <t>34.0</t>
  </si>
  <si>
    <t>Gonzalez Celeste</t>
  </si>
  <si>
    <t>35.5</t>
  </si>
  <si>
    <t>Manuelle da Silva Agatha</t>
  </si>
  <si>
    <t>Soto Arcos Josefa</t>
  </si>
  <si>
    <t>Odriozola Valentina</t>
  </si>
  <si>
    <t>Mora Salas Florencia Valentina</t>
  </si>
  <si>
    <t>Moreira Kelly</t>
  </si>
  <si>
    <t>da Silva Rodilene Dias</t>
  </si>
  <si>
    <t>Rengelman Veronica</t>
  </si>
  <si>
    <t>Cabrera Ana Laura</t>
  </si>
  <si>
    <t>64.0</t>
  </si>
  <si>
    <t>Marin Puelles Valentina</t>
  </si>
  <si>
    <t>133.0</t>
  </si>
  <si>
    <t>66.0</t>
  </si>
  <si>
    <t>344.0</t>
  </si>
  <si>
    <t>Maschacuri Raquel</t>
  </si>
  <si>
    <t>342.5</t>
  </si>
  <si>
    <t>Cordova Kerly</t>
  </si>
  <si>
    <t>Soliz Callahuanca Gabriela</t>
  </si>
  <si>
    <t>322.5</t>
  </si>
  <si>
    <t>Olguin Karen</t>
  </si>
  <si>
    <t>Bueno Carmen</t>
  </si>
  <si>
    <t>Quiroz Valenzuela Valeria Paz</t>
  </si>
  <si>
    <t>Saez Soto Maria</t>
  </si>
  <si>
    <t>422.0</t>
  </si>
  <si>
    <t>Savory Janice</t>
  </si>
  <si>
    <t>417.5</t>
  </si>
  <si>
    <t>Fernandez Carmen</t>
  </si>
  <si>
    <t>157.0</t>
  </si>
  <si>
    <t>77.5</t>
  </si>
  <si>
    <t>417.0</t>
  </si>
  <si>
    <t>Chilon Rocio</t>
  </si>
  <si>
    <t>175.5</t>
  </si>
  <si>
    <t>405.5</t>
  </si>
  <si>
    <t>Gomez Sanzana Tais</t>
  </si>
  <si>
    <t>385.0</t>
  </si>
  <si>
    <t>de Moraes Bianca</t>
  </si>
  <si>
    <t>375.0</t>
  </si>
  <si>
    <t>Pichoz Ariane Marchiori</t>
  </si>
  <si>
    <t>370.0</t>
  </si>
  <si>
    <t>Castro Rosa</t>
  </si>
  <si>
    <t>de Castro Camille</t>
  </si>
  <si>
    <t>160.5</t>
  </si>
  <si>
    <t>435.5</t>
  </si>
  <si>
    <t>Diaz Kassandra</t>
  </si>
  <si>
    <t>185.5</t>
  </si>
  <si>
    <t>Monserrate Kenia</t>
  </si>
  <si>
    <t>435.0</t>
  </si>
  <si>
    <t>Gimenez Tatiana</t>
  </si>
  <si>
    <t>88.0</t>
  </si>
  <si>
    <t>413.0</t>
  </si>
  <si>
    <t>Peixoto Keity</t>
  </si>
  <si>
    <t>Gonzalez Munoz Ignacia Andrea</t>
  </si>
  <si>
    <t>Peraferrer Velazquez Candel</t>
  </si>
  <si>
    <t>Ramirez Valentina</t>
  </si>
  <si>
    <t>Bonahora Valentina</t>
  </si>
  <si>
    <t>Caicedo Panama Magdalena Margoth</t>
  </si>
  <si>
    <t>Gonzales Lisset</t>
  </si>
  <si>
    <t>192.0</t>
  </si>
  <si>
    <t>487.0</t>
  </si>
  <si>
    <t>Oliveira Morgana</t>
  </si>
  <si>
    <t>Castro Munoz Paula</t>
  </si>
  <si>
    <t>100.5</t>
  </si>
  <si>
    <t>470.5</t>
  </si>
  <si>
    <t>Garcia Aviles Joselyn Daniela</t>
  </si>
  <si>
    <t>Echeverria Ortega Romy</t>
  </si>
  <si>
    <t>440.0</t>
  </si>
  <si>
    <t>Castro Florez Yury</t>
  </si>
  <si>
    <t>Bernadotte Maria</t>
  </si>
  <si>
    <t>500.5</t>
  </si>
  <si>
    <t>Parella Paula Gil Andrade E Silva</t>
  </si>
  <si>
    <t>Torres Laura</t>
  </si>
  <si>
    <t>Vargas Ruby</t>
  </si>
  <si>
    <t>457.5</t>
  </si>
  <si>
    <t>Takiy Ayumi</t>
  </si>
  <si>
    <t>437.5</t>
  </si>
  <si>
    <t>Diaz Marisol</t>
  </si>
  <si>
    <t>174.0</t>
  </si>
  <si>
    <t>421.5</t>
  </si>
  <si>
    <t>Skogen Aguilera Emily Soﬁa</t>
  </si>
  <si>
    <t>460.0</t>
  </si>
  <si>
    <t>Cabral Maiara</t>
  </si>
  <si>
    <t>Espinoza Gianela</t>
  </si>
  <si>
    <t>Abrigo Keisha</t>
  </si>
  <si>
    <t>432.5</t>
  </si>
  <si>
    <t>Kezia Joseph</t>
  </si>
  <si>
    <t>180.5</t>
  </si>
  <si>
    <t>415.5</t>
  </si>
  <si>
    <t>Leiva Lucia Camila</t>
  </si>
  <si>
    <t>Karaoghlanian Maria Sol</t>
  </si>
  <si>
    <t>Peralta Juli</t>
  </si>
  <si>
    <t>87.5</t>
  </si>
  <si>
    <t>43.5</t>
  </si>
  <si>
    <t>231.0</t>
  </si>
  <si>
    <t>61.0</t>
  </si>
  <si>
    <t>87.0</t>
  </si>
  <si>
    <t>182.0</t>
  </si>
  <si>
    <t>65.5</t>
  </si>
  <si>
    <t>189.0</t>
  </si>
  <si>
    <t>Olave Vega Soﬁa</t>
  </si>
  <si>
    <t>Rivas Morales Soﬁa</t>
  </si>
  <si>
    <t>102.0</t>
  </si>
  <si>
    <t>117.0</t>
  </si>
  <si>
    <t>284.0</t>
  </si>
  <si>
    <t>Guerrero Ante Laura Soﬁa</t>
  </si>
  <si>
    <t>150.5</t>
  </si>
  <si>
    <t>68.0</t>
  </si>
  <si>
    <t>358.5</t>
  </si>
  <si>
    <t>Maidana Agostina Lucia</t>
  </si>
  <si>
    <t>356.0</t>
  </si>
  <si>
    <t>Itapua Isadora</t>
  </si>
  <si>
    <t>52.5</t>
  </si>
  <si>
    <t>143.0</t>
  </si>
  <si>
    <t>Aparecida da Silva dos Santos Andrielly</t>
  </si>
  <si>
    <t>de Almeida Estefani Ribeiro</t>
  </si>
  <si>
    <t>138.0</t>
  </si>
  <si>
    <t>373.0</t>
  </si>
  <si>
    <t>Ramos Donoso Carolina Andrea</t>
  </si>
  <si>
    <t>170.5</t>
  </si>
  <si>
    <t>381.0</t>
  </si>
  <si>
    <t>Ayala Triana</t>
  </si>
  <si>
    <t>Molina Briones Francisca</t>
  </si>
  <si>
    <t>Pilalo Calle Cristel</t>
  </si>
  <si>
    <t>352.5</t>
  </si>
  <si>
    <t>Alvarez Fernanda</t>
  </si>
  <si>
    <t>Ramirez Karen</t>
  </si>
  <si>
    <t>425.5</t>
  </si>
  <si>
    <t>Coloma Nahomy</t>
  </si>
  <si>
    <t>Rodriguez Arango Xiomara</t>
  </si>
  <si>
    <t>80.5</t>
  </si>
  <si>
    <t>da Silva Rafaela Sunshine</t>
  </si>
  <si>
    <t>Ramirez Martinez Rocio Belen</t>
  </si>
  <si>
    <t>Olave Vega Antonia</t>
  </si>
  <si>
    <t>412.5</t>
  </si>
  <si>
    <t>Quiroga Estefania</t>
  </si>
  <si>
    <t>408.0</t>
  </si>
  <si>
    <t>Sempertegui Marcela</t>
  </si>
  <si>
    <t>Caceres Thalia</t>
  </si>
  <si>
    <t>Salazar Antonella</t>
  </si>
  <si>
    <t>Freire Vitor Lara</t>
  </si>
  <si>
    <t>Tello Clarisse</t>
  </si>
  <si>
    <t>Bruna Maryam</t>
  </si>
  <si>
    <t>437.0</t>
  </si>
  <si>
    <t>Lopez Claudia</t>
  </si>
  <si>
    <t>425.0</t>
  </si>
  <si>
    <t>Nobre Vanessa Maria</t>
  </si>
  <si>
    <t>Galaz Zamorano Catalina Paz</t>
  </si>
  <si>
    <t>Picardo Valentina</t>
  </si>
  <si>
    <t>Tedjoe Shreya-Rama</t>
  </si>
  <si>
    <t>Castillo Sepulveda Cristaleen</t>
  </si>
  <si>
    <t>Kelly Andreina Jimenez Torres</t>
  </si>
  <si>
    <t>Cabrera Sophia</t>
  </si>
  <si>
    <t>423.0</t>
  </si>
  <si>
    <t>Ferraz Alves de Moura Maria Eduarda</t>
  </si>
  <si>
    <t>Rodriguez Grajales Mariana</t>
  </si>
  <si>
    <t>153.5</t>
  </si>
  <si>
    <t>90.5</t>
  </si>
  <si>
    <t>404.0</t>
  </si>
  <si>
    <t>Vivares Martina</t>
  </si>
  <si>
    <t>Vezono Marcela Pereira</t>
  </si>
  <si>
    <t>Perez Natalia</t>
  </si>
  <si>
    <t>Basaez Lagos Josefa Isabella</t>
  </si>
  <si>
    <t>442.5</t>
  </si>
  <si>
    <t>Zelaya Adriana</t>
  </si>
  <si>
    <t>427.5</t>
  </si>
  <si>
    <t>Zoboli Camila</t>
  </si>
  <si>
    <t>Gomez Garcia Trinidad Valentina</t>
  </si>
  <si>
    <t>Delgado Luana</t>
  </si>
  <si>
    <t>Canel Graziela Medeiros</t>
  </si>
  <si>
    <t>372.5</t>
  </si>
  <si>
    <t>Inamassu Renata</t>
  </si>
  <si>
    <t>350.5</t>
  </si>
  <si>
    <t>Languasco Claritza</t>
  </si>
  <si>
    <t>de Oliveira Simone Guimaraes</t>
  </si>
  <si>
    <t>Borges Paula</t>
  </si>
  <si>
    <t>Monteiro Lilian</t>
  </si>
  <si>
    <t>Meza Allendes Pilar Mauren</t>
  </si>
  <si>
    <t>Ochoa Paredes Arminda</t>
  </si>
  <si>
    <t>Huertas Luzmila</t>
  </si>
  <si>
    <t>390.0</t>
  </si>
  <si>
    <t>Caﬁero Karla</t>
  </si>
  <si>
    <t>158.0</t>
  </si>
  <si>
    <t>60.5</t>
  </si>
  <si>
    <t>165.5</t>
  </si>
  <si>
    <t>Vera Tapia Gloria Elizabeth</t>
  </si>
  <si>
    <t>385.5</t>
  </si>
  <si>
    <t>Marins Marcia</t>
  </si>
  <si>
    <t>Vallejos Paola</t>
  </si>
  <si>
    <t>148.0</t>
  </si>
  <si>
    <t>343.0</t>
  </si>
  <si>
    <t>Bouchet Maria Lucia</t>
  </si>
  <si>
    <t>Valenzuela Munoz Barbara Cecilia</t>
  </si>
  <si>
    <t>Chuyo Ada</t>
  </si>
  <si>
    <t>114.0</t>
  </si>
  <si>
    <t>Seas Marin Ferminia</t>
  </si>
  <si>
    <t>Taharally Nadina</t>
  </si>
  <si>
    <t>410.0</t>
  </si>
  <si>
    <t xml:space="preserve">SQ </t>
  </si>
  <si>
    <t>Univ</t>
  </si>
  <si>
    <t>Universidade Anhanguera</t>
  </si>
  <si>
    <t>Universidad Autónoma Juan Misael Saracho (Uajms)</t>
  </si>
  <si>
    <t>Facuvale</t>
  </si>
  <si>
    <t>Universidad Catolica Del Maule</t>
  </si>
  <si>
    <t>Pontiﬁcia Universidad Catolica De Valparaiso</t>
  </si>
  <si>
    <t>Universidad de Talca</t>
  </si>
  <si>
    <t>120+</t>
  </si>
  <si>
    <t>M1</t>
  </si>
  <si>
    <t>M2</t>
  </si>
  <si>
    <t>M3</t>
  </si>
  <si>
    <t>M4</t>
  </si>
  <si>
    <t>BP</t>
  </si>
  <si>
    <t xml:space="preserve">DL </t>
  </si>
  <si>
    <t>Name</t>
  </si>
  <si>
    <t>Born</t>
  </si>
  <si>
    <t>Team</t>
  </si>
  <si>
    <t>Sjrs</t>
  </si>
  <si>
    <t>43 kg</t>
  </si>
  <si>
    <t>47 kg</t>
  </si>
  <si>
    <t>52 kg</t>
  </si>
  <si>
    <t>57 kg</t>
  </si>
  <si>
    <t>63 kg</t>
  </si>
  <si>
    <t>69 kg</t>
  </si>
  <si>
    <t>76 kg</t>
  </si>
  <si>
    <t>84 kg</t>
  </si>
  <si>
    <t>84+ kg</t>
  </si>
  <si>
    <t>SOI</t>
  </si>
  <si>
    <t>59 kg</t>
  </si>
  <si>
    <t>66 kg</t>
  </si>
  <si>
    <t>74 kg</t>
  </si>
  <si>
    <t>83 kg</t>
  </si>
  <si>
    <t>93 kg</t>
  </si>
  <si>
    <t>105 kg</t>
  </si>
  <si>
    <t>Men</t>
  </si>
  <si>
    <t>Women</t>
  </si>
  <si>
    <t>Sjr</t>
  </si>
  <si>
    <t>120 kg</t>
  </si>
  <si>
    <t>120+ kg</t>
  </si>
  <si>
    <t>Soares Mayara</t>
  </si>
  <si>
    <t>Finotello Gabriela</t>
  </si>
  <si>
    <t>Albernaz Sthefani</t>
  </si>
  <si>
    <t>Aghemio Nunez Rocio Jesus</t>
  </si>
  <si>
    <t>Castellain Ana</t>
  </si>
  <si>
    <t>Faria Victoria</t>
  </si>
  <si>
    <t>Pessina Maria</t>
  </si>
  <si>
    <t>Rivas Eileen</t>
  </si>
  <si>
    <t>Ferreira Mercia Galvao</t>
  </si>
  <si>
    <t>Guarita Luciana</t>
  </si>
  <si>
    <t>Horno Nilda</t>
  </si>
  <si>
    <t>Silva Irene</t>
  </si>
  <si>
    <t>Aghemio Nuñez Rocio Jesus</t>
  </si>
  <si>
    <t>Rosa Pereira Duarte Luisa</t>
  </si>
  <si>
    <t>Junior</t>
  </si>
  <si>
    <t>De Andrade Gustavo Fortuna</t>
  </si>
  <si>
    <t>Univ Nacional La Plata</t>
  </si>
  <si>
    <t>OR.</t>
  </si>
  <si>
    <t>Dos Santos Katiane</t>
  </si>
  <si>
    <t xml:space="preserve">Chile </t>
  </si>
  <si>
    <t>20 Sep - Weigh in start 14.30 hs - competition start 16.30 hs</t>
  </si>
  <si>
    <t xml:space="preserve">Referee: </t>
  </si>
  <si>
    <t xml:space="preserve">Jury: </t>
  </si>
  <si>
    <t>20 Sep - Weigh in start 07.00 hs - competition start 09.00 hs</t>
  </si>
  <si>
    <t>20 Sep - Weigh in start 11.00 hs - competition start 13.00 hs</t>
  </si>
  <si>
    <t>Round 1</t>
  </si>
  <si>
    <t>Round 2</t>
  </si>
  <si>
    <t>21 Sep - Weigh in start 11.00 hs - competition start 13.00 hs</t>
  </si>
  <si>
    <t>21 Sep - Weigh in start 07.00 hs - competition start 09.00 hs</t>
  </si>
  <si>
    <t>22 Sep - Weigh in start 08.00 hs - competition start 10.00 hs</t>
  </si>
  <si>
    <t>22 Sep - Weigh in start 12.30 hs - competition start 14.00 hs</t>
  </si>
  <si>
    <t>21 Sep - Weigh in start 14.30 hs - competition start 16.30 hs</t>
  </si>
  <si>
    <t>25 Sep - Weigh in start 07.00 hs - competition start 09.00 hs</t>
  </si>
  <si>
    <t>23 Sep - Weigh in start 07.00 hs - competition start 09.00 hs</t>
  </si>
  <si>
    <t>24 Sep - Weigh in start 08.00 hs - competition start 10.00 hs</t>
  </si>
  <si>
    <t>23 Sep - Weigh in start 11.00 hs - competition start 13.00 hs</t>
  </si>
  <si>
    <t>23 Sep - Weigh in start 14.30 hs - competition start 16.30 hs</t>
  </si>
  <si>
    <t>24 Sep - Weigh in start 12.30 hs - competition start 14.30 hs</t>
  </si>
  <si>
    <t>25 Sep - Weigh in start 11.00 hs - competition start 13.00 hs</t>
  </si>
  <si>
    <t>25 Sep - Weigh in start 14.30 hs - competition start 16.30 hs</t>
  </si>
  <si>
    <t>26 Sep - Weigh in start 08.00 hs - competition start 10.00 hs</t>
  </si>
  <si>
    <t>26 Sep - Weigh in start 13.00 hs - competition start 15.00 hs</t>
  </si>
  <si>
    <t>27 Sep - Weigh in start 08.00 hs - competition start 10.00 hs</t>
  </si>
  <si>
    <t>South American Special Olympics Championships 2026</t>
  </si>
  <si>
    <t>South American Men Classic Championships 2026</t>
  </si>
  <si>
    <t>South American Women Classic Championships 2026</t>
  </si>
  <si>
    <t>South American Men Equipped Championships 2026</t>
  </si>
  <si>
    <t>South American Women Equipped Championships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</si>
</sst>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Fill="1"/>
    <xf numFmtId="0" fontId="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9" fillId="0" borderId="0" xfId="0" applyFont="1"/>
    <xf numFmtId="164" fontId="3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/>
    <xf numFmtId="0" fontId="7" fillId="0" borderId="1" xfId="0" applyFont="1" applyFill="1" applyBorder="1" applyAlignment="1">
      <alignment horizontal="left" vertical="center"/>
    </xf>
    <xf numFmtId="0" fontId="10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5" fillId="0" borderId="5" xfId="0" applyFont="1" applyFill="1" applyBorder="1" applyAlignment="1">
      <alignment horizontal="center" vertical="center"/>
    </xf>
    <xf numFmtId="164" fontId="5" fillId="0" borderId="5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64" fontId="5" fillId="2" borderId="6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/>
    </xf>
    <xf numFmtId="0" fontId="0" fillId="0" borderId="5" xfId="0" applyFont="1" applyFill="1" applyBorder="1" applyAlignment="1">
      <alignment horizontal="center"/>
    </xf>
    <xf numFmtId="164" fontId="0" fillId="0" borderId="5" xfId="0" applyNumberFormat="1" applyFont="1" applyFill="1" applyBorder="1" applyAlignment="1">
      <alignment horizontal="center"/>
    </xf>
    <xf numFmtId="0" fontId="13" fillId="2" borderId="6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14" fillId="0" borderId="5" xfId="0" applyFont="1" applyFill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5" xfId="0" applyFont="1" applyFill="1" applyBorder="1" applyAlignment="1">
      <alignment horizontal="left" vertical="center"/>
    </xf>
    <xf numFmtId="164" fontId="15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0" fillId="0" borderId="5" xfId="0" applyFont="1" applyBorder="1" applyAlignment="1">
      <alignment horizontal="right"/>
    </xf>
    <xf numFmtId="0" fontId="0" fillId="0" borderId="5" xfId="0" applyFont="1" applyFill="1" applyBorder="1"/>
    <xf numFmtId="0" fontId="12" fillId="0" borderId="5" xfId="0" applyFont="1" applyBorder="1" applyAlignment="1">
      <alignment horizontal="center"/>
    </xf>
    <xf numFmtId="0" fontId="12" fillId="0" borderId="5" xfId="0" applyFont="1" applyBorder="1"/>
    <xf numFmtId="164" fontId="12" fillId="0" borderId="5" xfId="0" applyNumberFormat="1" applyFont="1" applyBorder="1" applyAlignment="1">
      <alignment horizontal="center"/>
    </xf>
    <xf numFmtId="164" fontId="0" fillId="0" borderId="0" xfId="0" applyNumberFormat="1" applyFont="1"/>
    <xf numFmtId="0" fontId="0" fillId="0" borderId="0" xfId="0" applyFont="1" applyBorder="1"/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1" fontId="15" fillId="0" borderId="7" xfId="0" applyNumberFormat="1" applyFont="1" applyFill="1" applyBorder="1" applyAlignment="1">
      <alignment horizontal="right" vertical="center"/>
    </xf>
    <xf numFmtId="0" fontId="16" fillId="0" borderId="0" xfId="0" applyFon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0" fontId="11" fillId="0" borderId="5" xfId="0" applyFont="1" applyFill="1" applyBorder="1" applyAlignment="1">
      <alignment horizontal="left" vertical="center"/>
    </xf>
    <xf numFmtId="0" fontId="15" fillId="0" borderId="5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164" fontId="16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/>
    <xf numFmtId="164" fontId="16" fillId="0" borderId="8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right" vertical="center"/>
    </xf>
    <xf numFmtId="164" fontId="15" fillId="0" borderId="8" xfId="0" applyNumberFormat="1" applyFont="1" applyFill="1" applyBorder="1" applyAlignment="1">
      <alignment horizontal="center" vertical="center"/>
    </xf>
    <xf numFmtId="164" fontId="15" fillId="0" borderId="0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view="pageBreakPreview" topLeftCell="A13" zoomScale="120" zoomScaleNormal="120" zoomScaleSheetLayoutView="120" workbookViewId="0">
      <selection activeCell="H23" sqref="H23"/>
    </sheetView>
  </sheetViews>
  <sheetFormatPr defaultColWidth="9.140625" defaultRowHeight="12.75" x14ac:dyDescent="0.2"/>
  <cols>
    <col min="1" max="1" width="7.7109375" style="12" customWidth="1"/>
    <col min="2" max="2" width="6.7109375" style="12" hidden="1" customWidth="1"/>
    <col min="3" max="3" width="6.7109375" style="12" customWidth="1"/>
    <col min="4" max="4" width="32" style="12" customWidth="1"/>
    <col min="5" max="5" width="7.7109375" style="12" customWidth="1"/>
    <col min="6" max="6" width="9.7109375" style="12" customWidth="1"/>
    <col min="7" max="10" width="7.7109375" style="15" customWidth="1"/>
    <col min="11" max="16384" width="9.140625" style="12"/>
  </cols>
  <sheetData>
    <row r="1" spans="1:10" customFormat="1" ht="15" x14ac:dyDescent="0.25">
      <c r="A1" s="75" t="s">
        <v>957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customFormat="1" ht="15" x14ac:dyDescent="0.25">
      <c r="A2" s="76" t="s">
        <v>934</v>
      </c>
      <c r="B2" s="76"/>
      <c r="C2" s="76"/>
      <c r="D2" s="76"/>
      <c r="E2" s="76"/>
      <c r="F2" s="76"/>
      <c r="G2" s="76"/>
      <c r="H2" s="76"/>
      <c r="I2" s="76"/>
      <c r="J2" s="76"/>
    </row>
    <row r="3" spans="1:10" customFormat="1" ht="15" x14ac:dyDescent="0.25">
      <c r="A3" s="76" t="s">
        <v>935</v>
      </c>
      <c r="B3" s="76"/>
      <c r="C3" s="76"/>
      <c r="D3" s="76"/>
      <c r="E3" s="76"/>
      <c r="F3" s="76"/>
      <c r="G3" s="76"/>
      <c r="H3" s="76"/>
      <c r="I3" s="76"/>
      <c r="J3" s="76"/>
    </row>
    <row r="4" spans="1:10" s="7" customFormat="1" ht="15" x14ac:dyDescent="0.25">
      <c r="A4" s="77" t="s">
        <v>936</v>
      </c>
      <c r="B4" s="77"/>
      <c r="C4" s="77"/>
      <c r="D4" s="77"/>
      <c r="E4" s="77"/>
      <c r="F4" s="77"/>
      <c r="G4" s="77"/>
      <c r="H4" s="77"/>
      <c r="I4" s="77"/>
      <c r="J4" s="77"/>
    </row>
    <row r="5" spans="1:10" x14ac:dyDescent="0.2">
      <c r="A5" s="9" t="s">
        <v>0</v>
      </c>
      <c r="B5" s="9" t="s">
        <v>1</v>
      </c>
      <c r="C5" s="9" t="s">
        <v>2</v>
      </c>
      <c r="D5" s="10" t="s">
        <v>889</v>
      </c>
      <c r="E5" s="9" t="s">
        <v>890</v>
      </c>
      <c r="F5" s="9" t="s">
        <v>891</v>
      </c>
      <c r="G5" s="11" t="s">
        <v>874</v>
      </c>
      <c r="H5" s="11" t="s">
        <v>887</v>
      </c>
      <c r="I5" s="11" t="s">
        <v>888</v>
      </c>
      <c r="J5" s="11" t="s">
        <v>3</v>
      </c>
    </row>
    <row r="6" spans="1:10" x14ac:dyDescent="0.2">
      <c r="A6" s="72" t="s">
        <v>910</v>
      </c>
      <c r="B6" s="73"/>
      <c r="C6" s="73"/>
      <c r="D6" s="73"/>
      <c r="E6" s="73"/>
      <c r="F6" s="73"/>
      <c r="G6" s="73"/>
      <c r="H6" s="73"/>
      <c r="I6" s="73"/>
      <c r="J6" s="74"/>
    </row>
    <row r="7" spans="1:10" x14ac:dyDescent="0.2">
      <c r="D7" s="20" t="s">
        <v>899</v>
      </c>
    </row>
    <row r="8" spans="1:10" customFormat="1" ht="15" x14ac:dyDescent="0.25">
      <c r="A8" s="12" t="s">
        <v>902</v>
      </c>
      <c r="B8" s="2">
        <v>76</v>
      </c>
      <c r="C8" s="5" t="s">
        <v>5</v>
      </c>
      <c r="D8" s="1" t="s">
        <v>662</v>
      </c>
      <c r="E8" s="2">
        <v>1995</v>
      </c>
      <c r="F8" s="4" t="s">
        <v>73</v>
      </c>
      <c r="G8" s="3">
        <v>65</v>
      </c>
      <c r="H8" s="3">
        <v>50</v>
      </c>
      <c r="I8" s="3">
        <v>105</v>
      </c>
      <c r="J8" s="3">
        <v>220</v>
      </c>
    </row>
    <row r="9" spans="1:10" x14ac:dyDescent="0.2">
      <c r="A9" s="72" t="s">
        <v>909</v>
      </c>
      <c r="B9" s="73"/>
      <c r="C9" s="73"/>
      <c r="D9" s="73"/>
      <c r="E9" s="73"/>
      <c r="F9" s="73"/>
      <c r="G9" s="73"/>
      <c r="H9" s="73"/>
      <c r="I9" s="73"/>
      <c r="J9" s="74"/>
    </row>
    <row r="10" spans="1:10" s="18" customFormat="1" x14ac:dyDescent="0.2">
      <c r="A10" s="16"/>
      <c r="B10" s="16"/>
      <c r="C10" s="16"/>
      <c r="D10" s="19" t="s">
        <v>903</v>
      </c>
      <c r="E10" s="16"/>
      <c r="F10" s="16"/>
      <c r="G10" s="17"/>
      <c r="H10" s="17"/>
      <c r="I10" s="17"/>
      <c r="J10" s="17"/>
    </row>
    <row r="11" spans="1:10" x14ac:dyDescent="0.2">
      <c r="A11" s="4" t="s">
        <v>902</v>
      </c>
      <c r="B11" s="5">
        <v>59</v>
      </c>
      <c r="C11" s="5" t="s">
        <v>62</v>
      </c>
      <c r="D11" s="4" t="s">
        <v>652</v>
      </c>
      <c r="E11" s="5" t="s">
        <v>265</v>
      </c>
      <c r="F11" s="4" t="s">
        <v>73</v>
      </c>
      <c r="G11" s="13" t="s">
        <v>653</v>
      </c>
      <c r="H11" s="13" t="s">
        <v>512</v>
      </c>
      <c r="I11" s="13" t="s">
        <v>654</v>
      </c>
      <c r="J11" s="13" t="s">
        <v>256</v>
      </c>
    </row>
    <row r="12" spans="1:10" x14ac:dyDescent="0.2">
      <c r="A12" s="4"/>
      <c r="B12" s="5"/>
      <c r="C12" s="5"/>
      <c r="D12" s="8" t="s">
        <v>904</v>
      </c>
      <c r="E12" s="5"/>
      <c r="F12" s="4"/>
      <c r="G12" s="13"/>
      <c r="H12" s="13"/>
      <c r="I12" s="13"/>
      <c r="J12" s="13"/>
    </row>
    <row r="13" spans="1:10" x14ac:dyDescent="0.2">
      <c r="A13" s="4" t="s">
        <v>902</v>
      </c>
      <c r="B13" s="5">
        <v>66</v>
      </c>
      <c r="C13" s="5" t="s">
        <v>20</v>
      </c>
      <c r="D13" s="4" t="s">
        <v>655</v>
      </c>
      <c r="E13" s="5">
        <v>1992</v>
      </c>
      <c r="F13" s="4" t="s">
        <v>73</v>
      </c>
      <c r="G13" s="13">
        <v>55</v>
      </c>
      <c r="H13" s="13">
        <v>45</v>
      </c>
      <c r="I13" s="13">
        <v>75</v>
      </c>
      <c r="J13" s="13">
        <v>175</v>
      </c>
    </row>
    <row r="14" spans="1:10" x14ac:dyDescent="0.2">
      <c r="A14" s="4"/>
      <c r="B14" s="5"/>
      <c r="C14" s="5"/>
      <c r="D14" s="8" t="s">
        <v>905</v>
      </c>
      <c r="E14" s="5"/>
      <c r="F14" s="4"/>
      <c r="G14" s="13"/>
      <c r="H14" s="13"/>
      <c r="I14" s="13"/>
      <c r="J14" s="13"/>
    </row>
    <row r="15" spans="1:10" x14ac:dyDescent="0.2">
      <c r="A15" s="4" t="s">
        <v>902</v>
      </c>
      <c r="B15" s="5">
        <v>74</v>
      </c>
      <c r="C15" s="5" t="s">
        <v>5</v>
      </c>
      <c r="D15" s="4" t="s">
        <v>656</v>
      </c>
      <c r="E15" s="5" t="s">
        <v>351</v>
      </c>
      <c r="F15" s="4" t="s">
        <v>73</v>
      </c>
      <c r="G15" s="13" t="s">
        <v>23</v>
      </c>
      <c r="H15" s="13" t="s">
        <v>17</v>
      </c>
      <c r="I15" s="13" t="s">
        <v>256</v>
      </c>
      <c r="J15" s="13" t="s">
        <v>157</v>
      </c>
    </row>
    <row r="16" spans="1:10" x14ac:dyDescent="0.2">
      <c r="A16" s="4"/>
      <c r="B16" s="5"/>
      <c r="C16" s="5"/>
      <c r="D16" s="8" t="s">
        <v>906</v>
      </c>
      <c r="E16" s="5"/>
      <c r="F16" s="4"/>
      <c r="G16" s="13"/>
      <c r="H16" s="13"/>
      <c r="I16" s="13"/>
      <c r="J16" s="13"/>
    </row>
    <row r="17" spans="1:10" x14ac:dyDescent="0.2">
      <c r="A17" s="4" t="s">
        <v>902</v>
      </c>
      <c r="B17" s="5">
        <v>83</v>
      </c>
      <c r="C17" s="5" t="s">
        <v>20</v>
      </c>
      <c r="D17" s="4" t="s">
        <v>658</v>
      </c>
      <c r="E17" s="5" t="s">
        <v>69</v>
      </c>
      <c r="F17" s="4" t="s">
        <v>73</v>
      </c>
      <c r="G17" s="13" t="s">
        <v>345</v>
      </c>
      <c r="H17" s="13" t="s">
        <v>345</v>
      </c>
      <c r="I17" s="13" t="s">
        <v>110</v>
      </c>
      <c r="J17" s="13" t="s">
        <v>173</v>
      </c>
    </row>
    <row r="18" spans="1:10" x14ac:dyDescent="0.2">
      <c r="A18" s="4" t="s">
        <v>902</v>
      </c>
      <c r="B18" s="5">
        <v>83</v>
      </c>
      <c r="C18" s="5" t="s">
        <v>62</v>
      </c>
      <c r="D18" s="4" t="s">
        <v>659</v>
      </c>
      <c r="E18" s="5" t="s">
        <v>28</v>
      </c>
      <c r="F18" s="4" t="s">
        <v>73</v>
      </c>
      <c r="G18" s="13" t="s">
        <v>508</v>
      </c>
      <c r="H18" s="13" t="s">
        <v>650</v>
      </c>
      <c r="I18" s="13" t="s">
        <v>66</v>
      </c>
      <c r="J18" s="13" t="s">
        <v>56</v>
      </c>
    </row>
    <row r="19" spans="1:10" x14ac:dyDescent="0.2">
      <c r="A19" s="4"/>
      <c r="B19" s="5"/>
      <c r="C19" s="5"/>
      <c r="D19" s="8" t="s">
        <v>908</v>
      </c>
      <c r="E19" s="5"/>
      <c r="F19" s="4"/>
      <c r="G19" s="13"/>
      <c r="H19" s="13"/>
      <c r="I19" s="13"/>
      <c r="J19" s="13"/>
    </row>
    <row r="20" spans="1:10" x14ac:dyDescent="0.2">
      <c r="A20" s="4" t="s">
        <v>902</v>
      </c>
      <c r="B20" s="5">
        <v>105</v>
      </c>
      <c r="C20" s="5" t="s">
        <v>5</v>
      </c>
      <c r="D20" s="4" t="s">
        <v>660</v>
      </c>
      <c r="E20" s="5" t="s">
        <v>7</v>
      </c>
      <c r="F20" s="4" t="s">
        <v>73</v>
      </c>
      <c r="G20" s="13" t="s">
        <v>9</v>
      </c>
      <c r="H20" s="13" t="s">
        <v>661</v>
      </c>
      <c r="I20" s="13" t="s">
        <v>60</v>
      </c>
      <c r="J20" s="13" t="s">
        <v>223</v>
      </c>
    </row>
    <row r="21" spans="1:10" x14ac:dyDescent="0.2">
      <c r="A21" s="6"/>
      <c r="B21" s="14"/>
      <c r="E21" s="14"/>
    </row>
  </sheetData>
  <mergeCells count="6">
    <mergeCell ref="A9:J9"/>
    <mergeCell ref="A6:J6"/>
    <mergeCell ref="A1:J1"/>
    <mergeCell ref="A2:J2"/>
    <mergeCell ref="A3:J3"/>
    <mergeCell ref="A4:J4"/>
  </mergeCells>
  <printOptions horizontalCentered="1"/>
  <pageMargins left="0.19685039370078741" right="0.19685039370078741" top="0.39370078740157483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6"/>
  <sheetViews>
    <sheetView view="pageBreakPreview" topLeftCell="A198" zoomScaleNormal="120" zoomScaleSheetLayoutView="100" workbookViewId="0">
      <selection activeCell="H208" sqref="H208"/>
    </sheetView>
  </sheetViews>
  <sheetFormatPr defaultColWidth="9.140625" defaultRowHeight="15" x14ac:dyDescent="0.25"/>
  <cols>
    <col min="1" max="1" width="7.7109375" style="21" customWidth="1"/>
    <col min="2" max="2" width="9.7109375" style="21" hidden="1" customWidth="1"/>
    <col min="3" max="3" width="6.7109375" style="21" customWidth="1"/>
    <col min="4" max="4" width="30.7109375" style="21" customWidth="1"/>
    <col min="5" max="5" width="7.7109375" style="21" customWidth="1"/>
    <col min="6" max="6" width="15.7109375" style="21" customWidth="1"/>
    <col min="7" max="10" width="7.7109375" style="59" customWidth="1"/>
    <col min="11" max="16384" width="9.140625" style="21"/>
  </cols>
  <sheetData>
    <row r="1" spans="1:10" x14ac:dyDescent="0.25">
      <c r="A1" s="75" t="s">
        <v>958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8" t="s">
        <v>947</v>
      </c>
      <c r="B2" s="78"/>
      <c r="C2" s="78"/>
      <c r="D2" s="78"/>
      <c r="E2" s="78"/>
      <c r="F2" s="78"/>
      <c r="G2" s="78"/>
      <c r="H2" s="78"/>
      <c r="I2" s="78"/>
      <c r="J2" s="78"/>
    </row>
    <row r="3" spans="1:10" x14ac:dyDescent="0.25">
      <c r="A3" s="78" t="s">
        <v>935</v>
      </c>
      <c r="B3" s="78"/>
      <c r="C3" s="78"/>
      <c r="D3" s="78"/>
      <c r="E3" s="78"/>
      <c r="F3" s="78"/>
      <c r="G3" s="78"/>
      <c r="H3" s="78"/>
      <c r="I3" s="78"/>
      <c r="J3" s="78"/>
    </row>
    <row r="4" spans="1:10" s="22" customFormat="1" x14ac:dyDescent="0.25">
      <c r="A4" s="77" t="s">
        <v>936</v>
      </c>
      <c r="B4" s="77"/>
      <c r="C4" s="77"/>
      <c r="D4" s="77"/>
      <c r="E4" s="77"/>
      <c r="F4" s="77"/>
      <c r="G4" s="77"/>
      <c r="H4" s="77"/>
      <c r="I4" s="77"/>
      <c r="J4" s="77"/>
    </row>
    <row r="5" spans="1:10" x14ac:dyDescent="0.25">
      <c r="A5" s="30" t="s">
        <v>0</v>
      </c>
      <c r="B5" s="30" t="s">
        <v>1</v>
      </c>
      <c r="C5" s="30" t="s">
        <v>931</v>
      </c>
      <c r="D5" s="37" t="s">
        <v>889</v>
      </c>
      <c r="E5" s="30" t="s">
        <v>890</v>
      </c>
      <c r="F5" s="30" t="s">
        <v>891</v>
      </c>
      <c r="G5" s="32" t="s">
        <v>874</v>
      </c>
      <c r="H5" s="32" t="s">
        <v>887</v>
      </c>
      <c r="I5" s="32" t="s">
        <v>888</v>
      </c>
      <c r="J5" s="32" t="s">
        <v>3</v>
      </c>
    </row>
    <row r="6" spans="1:10" s="22" customFormat="1" ht="15" customHeight="1" x14ac:dyDescent="0.25">
      <c r="A6" s="28"/>
      <c r="B6" s="28"/>
      <c r="C6" s="28"/>
      <c r="D6" s="38" t="s">
        <v>939</v>
      </c>
      <c r="E6" s="28"/>
      <c r="F6" s="28"/>
      <c r="G6" s="29"/>
      <c r="H6" s="29"/>
      <c r="I6" s="29"/>
      <c r="J6" s="29"/>
    </row>
    <row r="7" spans="1:10" x14ac:dyDescent="0.25">
      <c r="A7" s="40"/>
      <c r="B7" s="41"/>
      <c r="C7" s="41"/>
      <c r="D7" s="68" t="s">
        <v>903</v>
      </c>
      <c r="E7" s="41"/>
      <c r="F7" s="40"/>
      <c r="G7" s="69"/>
      <c r="H7" s="41"/>
      <c r="I7" s="69"/>
      <c r="J7" s="69"/>
    </row>
    <row r="8" spans="1:10" x14ac:dyDescent="0.25">
      <c r="A8" s="40" t="s">
        <v>4</v>
      </c>
      <c r="B8" s="41">
        <v>59</v>
      </c>
      <c r="C8" s="42">
        <v>62</v>
      </c>
      <c r="D8" s="61" t="s">
        <v>51</v>
      </c>
      <c r="E8" s="41" t="s">
        <v>52</v>
      </c>
      <c r="F8" s="40" t="s">
        <v>53</v>
      </c>
      <c r="G8" s="44" t="s">
        <v>54</v>
      </c>
      <c r="H8" s="44" t="s">
        <v>55</v>
      </c>
      <c r="I8" s="44" t="s">
        <v>56</v>
      </c>
      <c r="J8" s="44" t="s">
        <v>57</v>
      </c>
    </row>
    <row r="9" spans="1:10" x14ac:dyDescent="0.25">
      <c r="A9" s="40" t="s">
        <v>4</v>
      </c>
      <c r="B9" s="41">
        <v>59</v>
      </c>
      <c r="C9" s="42">
        <v>30</v>
      </c>
      <c r="D9" s="61" t="s">
        <v>63</v>
      </c>
      <c r="E9" s="41">
        <v>2004</v>
      </c>
      <c r="F9" s="40" t="s">
        <v>82</v>
      </c>
      <c r="G9" s="44">
        <v>182.5</v>
      </c>
      <c r="H9" s="44">
        <v>135</v>
      </c>
      <c r="I9" s="44">
        <v>215.5</v>
      </c>
      <c r="J9" s="44">
        <v>533</v>
      </c>
    </row>
    <row r="10" spans="1:10" x14ac:dyDescent="0.25">
      <c r="A10" s="40" t="s">
        <v>4</v>
      </c>
      <c r="B10" s="41">
        <v>59</v>
      </c>
      <c r="C10" s="42">
        <v>63</v>
      </c>
      <c r="D10" s="61" t="s">
        <v>68</v>
      </c>
      <c r="E10" s="41">
        <v>2000</v>
      </c>
      <c r="F10" s="40" t="s">
        <v>135</v>
      </c>
      <c r="G10" s="44">
        <v>150</v>
      </c>
      <c r="H10" s="44">
        <v>90</v>
      </c>
      <c r="I10" s="44">
        <v>190</v>
      </c>
      <c r="J10" s="44">
        <v>430</v>
      </c>
    </row>
    <row r="11" spans="1:10" x14ac:dyDescent="0.25">
      <c r="A11" s="40" t="s">
        <v>4</v>
      </c>
      <c r="B11" s="41">
        <v>59</v>
      </c>
      <c r="C11" s="42">
        <v>44</v>
      </c>
      <c r="D11" s="61" t="s">
        <v>71</v>
      </c>
      <c r="E11" s="41" t="s">
        <v>72</v>
      </c>
      <c r="F11" s="40" t="s">
        <v>73</v>
      </c>
      <c r="G11" s="44" t="s">
        <v>74</v>
      </c>
      <c r="H11" s="44" t="s">
        <v>31</v>
      </c>
      <c r="I11" s="44" t="s">
        <v>18</v>
      </c>
      <c r="J11" s="44" t="s">
        <v>75</v>
      </c>
    </row>
    <row r="12" spans="1:10" x14ac:dyDescent="0.25">
      <c r="A12" s="40" t="s">
        <v>4</v>
      </c>
      <c r="B12" s="41">
        <v>59</v>
      </c>
      <c r="C12" s="42">
        <v>44</v>
      </c>
      <c r="D12" s="61" t="s">
        <v>71</v>
      </c>
      <c r="E12" s="41" t="s">
        <v>72</v>
      </c>
      <c r="F12" s="40" t="s">
        <v>73</v>
      </c>
      <c r="G12" s="69"/>
      <c r="H12" s="41" t="s">
        <v>31</v>
      </c>
      <c r="I12" s="69"/>
      <c r="J12" s="69"/>
    </row>
    <row r="13" spans="1:10" x14ac:dyDescent="0.25">
      <c r="A13" s="40" t="s">
        <v>324</v>
      </c>
      <c r="B13" s="41">
        <v>59</v>
      </c>
      <c r="C13" s="42">
        <v>4</v>
      </c>
      <c r="D13" s="61" t="s">
        <v>328</v>
      </c>
      <c r="E13" s="41" t="s">
        <v>77</v>
      </c>
      <c r="F13" s="40" t="s">
        <v>53</v>
      </c>
      <c r="G13" s="44" t="s">
        <v>105</v>
      </c>
      <c r="H13" s="44" t="s">
        <v>274</v>
      </c>
      <c r="I13" s="44" t="s">
        <v>83</v>
      </c>
      <c r="J13" s="44" t="s">
        <v>329</v>
      </c>
    </row>
    <row r="14" spans="1:10" x14ac:dyDescent="0.25">
      <c r="A14" s="40" t="s">
        <v>324</v>
      </c>
      <c r="B14" s="41">
        <v>59</v>
      </c>
      <c r="C14" s="42">
        <v>45</v>
      </c>
      <c r="D14" s="61" t="s">
        <v>331</v>
      </c>
      <c r="E14" s="41" t="s">
        <v>45</v>
      </c>
      <c r="F14" s="40" t="s">
        <v>109</v>
      </c>
      <c r="G14" s="44" t="s">
        <v>65</v>
      </c>
      <c r="H14" s="44" t="s">
        <v>262</v>
      </c>
      <c r="I14" s="44" t="s">
        <v>67</v>
      </c>
      <c r="J14" s="44" t="s">
        <v>332</v>
      </c>
    </row>
    <row r="15" spans="1:10" x14ac:dyDescent="0.25">
      <c r="A15" s="40" t="s">
        <v>324</v>
      </c>
      <c r="B15" s="41">
        <v>59</v>
      </c>
      <c r="C15" s="42">
        <v>73</v>
      </c>
      <c r="D15" s="61" t="s">
        <v>335</v>
      </c>
      <c r="E15" s="41" t="s">
        <v>45</v>
      </c>
      <c r="F15" s="40" t="s">
        <v>82</v>
      </c>
      <c r="G15" s="44" t="s">
        <v>326</v>
      </c>
      <c r="H15" s="44" t="s">
        <v>9</v>
      </c>
      <c r="I15" s="44" t="s">
        <v>158</v>
      </c>
      <c r="J15" s="44" t="s">
        <v>336</v>
      </c>
    </row>
    <row r="16" spans="1:10" x14ac:dyDescent="0.25">
      <c r="A16" s="40" t="s">
        <v>911</v>
      </c>
      <c r="B16" s="41">
        <v>59</v>
      </c>
      <c r="C16" s="42">
        <v>11</v>
      </c>
      <c r="D16" s="61" t="s">
        <v>245</v>
      </c>
      <c r="E16" s="41" t="s">
        <v>246</v>
      </c>
      <c r="F16" s="40" t="s">
        <v>128</v>
      </c>
      <c r="G16" s="44" t="s">
        <v>67</v>
      </c>
      <c r="H16" s="44" t="s">
        <v>247</v>
      </c>
      <c r="I16" s="44" t="s">
        <v>61</v>
      </c>
      <c r="J16" s="44" t="s">
        <v>248</v>
      </c>
    </row>
    <row r="17" spans="1:10" x14ac:dyDescent="0.25">
      <c r="A17" s="40" t="s">
        <v>911</v>
      </c>
      <c r="B17" s="41">
        <v>59</v>
      </c>
      <c r="C17" s="42">
        <v>26</v>
      </c>
      <c r="D17" s="61" t="s">
        <v>250</v>
      </c>
      <c r="E17" s="41">
        <v>2008</v>
      </c>
      <c r="F17" s="40" t="s">
        <v>73</v>
      </c>
      <c r="G17" s="44">
        <v>170</v>
      </c>
      <c r="H17" s="44">
        <v>95</v>
      </c>
      <c r="I17" s="44">
        <v>210</v>
      </c>
      <c r="J17" s="44">
        <v>475</v>
      </c>
    </row>
    <row r="18" spans="1:10" x14ac:dyDescent="0.25">
      <c r="A18" s="40" t="s">
        <v>911</v>
      </c>
      <c r="B18" s="41">
        <v>59</v>
      </c>
      <c r="C18" s="42">
        <v>58</v>
      </c>
      <c r="D18" s="61" t="s">
        <v>251</v>
      </c>
      <c r="E18" s="41" t="s">
        <v>246</v>
      </c>
      <c r="F18" s="40" t="s">
        <v>89</v>
      </c>
      <c r="G18" s="44" t="s">
        <v>117</v>
      </c>
      <c r="H18" s="44" t="s">
        <v>252</v>
      </c>
      <c r="I18" s="44" t="s">
        <v>98</v>
      </c>
      <c r="J18" s="44" t="s">
        <v>253</v>
      </c>
    </row>
    <row r="19" spans="1:10" x14ac:dyDescent="0.25">
      <c r="A19" s="40" t="s">
        <v>875</v>
      </c>
      <c r="B19" s="41">
        <v>59</v>
      </c>
      <c r="C19" s="42">
        <v>74</v>
      </c>
      <c r="D19" s="61" t="s">
        <v>596</v>
      </c>
      <c r="E19" s="41" t="s">
        <v>45</v>
      </c>
      <c r="F19" s="40" t="s">
        <v>597</v>
      </c>
      <c r="G19" s="44" t="s">
        <v>158</v>
      </c>
      <c r="H19" s="44" t="s">
        <v>247</v>
      </c>
      <c r="I19" s="44" t="s">
        <v>83</v>
      </c>
      <c r="J19" s="44" t="s">
        <v>455</v>
      </c>
    </row>
    <row r="20" spans="1:10" x14ac:dyDescent="0.25">
      <c r="A20" s="40" t="s">
        <v>875</v>
      </c>
      <c r="B20" s="41">
        <v>59</v>
      </c>
      <c r="C20" s="42">
        <v>43</v>
      </c>
      <c r="D20" s="61" t="s">
        <v>598</v>
      </c>
      <c r="E20" s="41">
        <v>2003</v>
      </c>
      <c r="F20" s="40" t="s">
        <v>876</v>
      </c>
      <c r="G20" s="44">
        <v>165</v>
      </c>
      <c r="H20" s="44">
        <v>97.5</v>
      </c>
      <c r="I20" s="44">
        <v>212.5</v>
      </c>
      <c r="J20" s="44">
        <v>475</v>
      </c>
    </row>
    <row r="21" spans="1:10" x14ac:dyDescent="0.25">
      <c r="A21" s="40" t="s">
        <v>875</v>
      </c>
      <c r="B21" s="41">
        <v>59</v>
      </c>
      <c r="C21" s="42">
        <v>83</v>
      </c>
      <c r="D21" s="61" t="s">
        <v>334</v>
      </c>
      <c r="E21" s="41" t="s">
        <v>7</v>
      </c>
      <c r="F21" s="40" t="s">
        <v>877</v>
      </c>
      <c r="G21" s="44" t="s">
        <v>117</v>
      </c>
      <c r="H21" s="44" t="s">
        <v>23</v>
      </c>
      <c r="I21" s="44" t="s">
        <v>168</v>
      </c>
      <c r="J21" s="44" t="s">
        <v>253</v>
      </c>
    </row>
    <row r="22" spans="1:10" x14ac:dyDescent="0.25">
      <c r="A22" s="75" t="s">
        <v>958</v>
      </c>
      <c r="B22" s="75"/>
      <c r="C22" s="75"/>
      <c r="D22" s="75"/>
      <c r="E22" s="75"/>
      <c r="F22" s="75"/>
      <c r="G22" s="75"/>
      <c r="H22" s="75"/>
      <c r="I22" s="75"/>
      <c r="J22" s="75"/>
    </row>
    <row r="23" spans="1:10" x14ac:dyDescent="0.25">
      <c r="A23" s="78" t="s">
        <v>948</v>
      </c>
      <c r="B23" s="78"/>
      <c r="C23" s="78"/>
      <c r="D23" s="78"/>
      <c r="E23" s="78"/>
      <c r="F23" s="78"/>
      <c r="G23" s="78"/>
      <c r="H23" s="78"/>
      <c r="I23" s="78"/>
      <c r="J23" s="78"/>
    </row>
    <row r="24" spans="1:10" x14ac:dyDescent="0.25">
      <c r="A24" s="78" t="s">
        <v>935</v>
      </c>
      <c r="B24" s="78"/>
      <c r="C24" s="78"/>
      <c r="D24" s="78"/>
      <c r="E24" s="78"/>
      <c r="F24" s="78"/>
      <c r="G24" s="78"/>
      <c r="H24" s="78"/>
      <c r="I24" s="78"/>
      <c r="J24" s="78"/>
    </row>
    <row r="25" spans="1:10" s="22" customFormat="1" x14ac:dyDescent="0.25">
      <c r="A25" s="77" t="s">
        <v>936</v>
      </c>
      <c r="B25" s="77"/>
      <c r="C25" s="77"/>
      <c r="D25" s="77"/>
      <c r="E25" s="77"/>
      <c r="F25" s="77"/>
      <c r="G25" s="77"/>
      <c r="H25" s="77"/>
      <c r="I25" s="77"/>
      <c r="J25" s="77"/>
    </row>
    <row r="26" spans="1:10" x14ac:dyDescent="0.25">
      <c r="A26" s="30" t="s">
        <v>0</v>
      </c>
      <c r="B26" s="30" t="s">
        <v>1</v>
      </c>
      <c r="C26" s="30" t="s">
        <v>931</v>
      </c>
      <c r="D26" s="37" t="s">
        <v>889</v>
      </c>
      <c r="E26" s="30" t="s">
        <v>890</v>
      </c>
      <c r="F26" s="30" t="s">
        <v>891</v>
      </c>
      <c r="G26" s="32" t="s">
        <v>874</v>
      </c>
      <c r="H26" s="32" t="s">
        <v>887</v>
      </c>
      <c r="I26" s="32" t="s">
        <v>888</v>
      </c>
      <c r="J26" s="32" t="s">
        <v>3</v>
      </c>
    </row>
    <row r="27" spans="1:10" s="22" customFormat="1" ht="15" customHeight="1" x14ac:dyDescent="0.25">
      <c r="A27" s="28"/>
      <c r="B27" s="28"/>
      <c r="C27" s="28"/>
      <c r="D27" s="38" t="s">
        <v>939</v>
      </c>
      <c r="E27" s="28"/>
      <c r="F27" s="28"/>
      <c r="G27" s="29"/>
      <c r="H27" s="29"/>
      <c r="I27" s="29"/>
      <c r="J27" s="29"/>
    </row>
    <row r="28" spans="1:10" x14ac:dyDescent="0.25">
      <c r="A28" s="40"/>
      <c r="B28" s="41"/>
      <c r="C28" s="42"/>
      <c r="D28" s="33" t="s">
        <v>904</v>
      </c>
      <c r="E28" s="41"/>
      <c r="F28" s="40"/>
      <c r="G28" s="44"/>
      <c r="H28" s="44"/>
      <c r="I28" s="44"/>
      <c r="J28" s="44"/>
    </row>
    <row r="29" spans="1:10" x14ac:dyDescent="0.25">
      <c r="A29" s="40" t="s">
        <v>883</v>
      </c>
      <c r="B29" s="41">
        <v>66</v>
      </c>
      <c r="C29" s="42">
        <v>21</v>
      </c>
      <c r="D29" s="61" t="s">
        <v>427</v>
      </c>
      <c r="E29" s="41">
        <v>1986</v>
      </c>
      <c r="F29" s="40" t="s">
        <v>73</v>
      </c>
      <c r="G29" s="44">
        <v>165</v>
      </c>
      <c r="H29" s="44">
        <v>130</v>
      </c>
      <c r="I29" s="44">
        <v>205</v>
      </c>
      <c r="J29" s="44">
        <v>500</v>
      </c>
    </row>
    <row r="30" spans="1:10" x14ac:dyDescent="0.25">
      <c r="A30" s="40" t="s">
        <v>883</v>
      </c>
      <c r="B30" s="41">
        <v>66</v>
      </c>
      <c r="C30" s="42">
        <v>95</v>
      </c>
      <c r="D30" s="61" t="s">
        <v>429</v>
      </c>
      <c r="E30" s="41" t="s">
        <v>52</v>
      </c>
      <c r="F30" s="40" t="s">
        <v>89</v>
      </c>
      <c r="G30" s="44" t="s">
        <v>255</v>
      </c>
      <c r="H30" s="44" t="s">
        <v>252</v>
      </c>
      <c r="I30" s="44" t="s">
        <v>255</v>
      </c>
      <c r="J30" s="44" t="s">
        <v>38</v>
      </c>
    </row>
    <row r="31" spans="1:10" x14ac:dyDescent="0.25">
      <c r="A31" s="40" t="s">
        <v>883</v>
      </c>
      <c r="B31" s="41">
        <v>66</v>
      </c>
      <c r="C31" s="42">
        <v>21</v>
      </c>
      <c r="D31" s="61" t="s">
        <v>427</v>
      </c>
      <c r="E31" s="41">
        <v>1986</v>
      </c>
      <c r="F31" s="40" t="s">
        <v>73</v>
      </c>
      <c r="G31" s="69"/>
      <c r="H31" s="41">
        <v>130</v>
      </c>
      <c r="I31" s="69"/>
      <c r="J31" s="69"/>
    </row>
    <row r="32" spans="1:10" x14ac:dyDescent="0.25">
      <c r="A32" s="40" t="s">
        <v>884</v>
      </c>
      <c r="B32" s="41">
        <v>66</v>
      </c>
      <c r="C32" s="42">
        <v>76</v>
      </c>
      <c r="D32" s="61" t="s">
        <v>467</v>
      </c>
      <c r="E32" s="41">
        <v>1976</v>
      </c>
      <c r="F32" s="40" t="s">
        <v>82</v>
      </c>
      <c r="G32" s="44">
        <v>135</v>
      </c>
      <c r="H32" s="44">
        <v>120</v>
      </c>
      <c r="I32" s="44">
        <v>150</v>
      </c>
      <c r="J32" s="44">
        <v>405</v>
      </c>
    </row>
    <row r="33" spans="1:11" x14ac:dyDescent="0.25">
      <c r="A33" s="40" t="s">
        <v>884</v>
      </c>
      <c r="B33" s="41">
        <v>66</v>
      </c>
      <c r="C33" s="42">
        <v>49</v>
      </c>
      <c r="D33" s="61" t="s">
        <v>469</v>
      </c>
      <c r="E33" s="41" t="s">
        <v>470</v>
      </c>
      <c r="F33" s="40" t="s">
        <v>141</v>
      </c>
      <c r="G33" s="44" t="s">
        <v>11</v>
      </c>
      <c r="H33" s="44" t="s">
        <v>48</v>
      </c>
      <c r="I33" s="44" t="s">
        <v>42</v>
      </c>
      <c r="J33" s="44" t="s">
        <v>471</v>
      </c>
    </row>
    <row r="34" spans="1:11" x14ac:dyDescent="0.25">
      <c r="A34" s="40" t="s">
        <v>884</v>
      </c>
      <c r="B34" s="41">
        <v>66</v>
      </c>
      <c r="C34" s="42">
        <v>76</v>
      </c>
      <c r="D34" s="61" t="s">
        <v>548</v>
      </c>
      <c r="E34" s="41" t="s">
        <v>468</v>
      </c>
      <c r="F34" s="40" t="s">
        <v>82</v>
      </c>
      <c r="G34" s="69"/>
      <c r="H34" s="41" t="s">
        <v>60</v>
      </c>
      <c r="I34" s="69"/>
      <c r="J34" s="69"/>
    </row>
    <row r="35" spans="1:11" x14ac:dyDescent="0.25">
      <c r="A35" s="40" t="s">
        <v>911</v>
      </c>
      <c r="B35" s="41">
        <v>66</v>
      </c>
      <c r="C35" s="42">
        <v>29</v>
      </c>
      <c r="D35" s="61" t="s">
        <v>254</v>
      </c>
      <c r="E35" s="41" t="s">
        <v>246</v>
      </c>
      <c r="F35" s="40" t="s">
        <v>89</v>
      </c>
      <c r="G35" s="44" t="s">
        <v>255</v>
      </c>
      <c r="H35" s="44" t="s">
        <v>256</v>
      </c>
      <c r="I35" s="44" t="s">
        <v>257</v>
      </c>
      <c r="J35" s="44" t="s">
        <v>258</v>
      </c>
    </row>
    <row r="36" spans="1:11" x14ac:dyDescent="0.25">
      <c r="A36" s="40" t="s">
        <v>911</v>
      </c>
      <c r="B36" s="41">
        <v>66</v>
      </c>
      <c r="C36" s="42">
        <v>46</v>
      </c>
      <c r="D36" s="61" t="s">
        <v>259</v>
      </c>
      <c r="E36" s="41" t="s">
        <v>246</v>
      </c>
      <c r="F36" s="40" t="s">
        <v>82</v>
      </c>
      <c r="G36" s="44" t="s">
        <v>255</v>
      </c>
      <c r="H36" s="44" t="s">
        <v>55</v>
      </c>
      <c r="I36" s="44" t="s">
        <v>94</v>
      </c>
      <c r="J36" s="44" t="s">
        <v>260</v>
      </c>
    </row>
    <row r="37" spans="1:11" x14ac:dyDescent="0.25">
      <c r="A37" s="40" t="s">
        <v>911</v>
      </c>
      <c r="B37" s="41">
        <v>66</v>
      </c>
      <c r="C37" s="42">
        <v>92</v>
      </c>
      <c r="D37" s="61" t="s">
        <v>261</v>
      </c>
      <c r="E37" s="41">
        <v>2008</v>
      </c>
      <c r="F37" s="40" t="s">
        <v>73</v>
      </c>
      <c r="G37" s="44">
        <v>195</v>
      </c>
      <c r="H37" s="44">
        <v>92.5</v>
      </c>
      <c r="I37" s="44">
        <v>237.5</v>
      </c>
      <c r="J37" s="44">
        <v>525</v>
      </c>
    </row>
    <row r="38" spans="1:11" x14ac:dyDescent="0.25">
      <c r="A38" s="40" t="s">
        <v>911</v>
      </c>
      <c r="B38" s="41">
        <v>66</v>
      </c>
      <c r="C38" s="42">
        <v>84</v>
      </c>
      <c r="D38" s="61" t="s">
        <v>264</v>
      </c>
      <c r="E38" s="41">
        <v>2009</v>
      </c>
      <c r="F38" s="40" t="s">
        <v>73</v>
      </c>
      <c r="G38" s="44">
        <v>162.5</v>
      </c>
      <c r="H38" s="44">
        <v>110</v>
      </c>
      <c r="I38" s="44">
        <v>205</v>
      </c>
      <c r="J38" s="44">
        <v>477.5</v>
      </c>
    </row>
    <row r="39" spans="1:11" x14ac:dyDescent="0.25">
      <c r="A39" s="40" t="s">
        <v>911</v>
      </c>
      <c r="B39" s="41">
        <v>66</v>
      </c>
      <c r="C39" s="42">
        <v>67</v>
      </c>
      <c r="D39" s="61" t="s">
        <v>536</v>
      </c>
      <c r="E39" s="41" t="s">
        <v>265</v>
      </c>
      <c r="F39" s="40" t="s">
        <v>73</v>
      </c>
      <c r="G39" s="69"/>
      <c r="H39" s="41" t="s">
        <v>247</v>
      </c>
      <c r="I39" s="69"/>
      <c r="J39" s="69"/>
    </row>
    <row r="40" spans="1:11" x14ac:dyDescent="0.25">
      <c r="A40" s="40" t="s">
        <v>875</v>
      </c>
      <c r="B40" s="41">
        <v>66</v>
      </c>
      <c r="C40" s="42">
        <v>35</v>
      </c>
      <c r="D40" s="61" t="s">
        <v>600</v>
      </c>
      <c r="E40" s="41" t="s">
        <v>34</v>
      </c>
      <c r="F40" s="40" t="s">
        <v>601</v>
      </c>
      <c r="G40" s="44" t="s">
        <v>158</v>
      </c>
      <c r="H40" s="44" t="s">
        <v>274</v>
      </c>
      <c r="I40" s="44" t="s">
        <v>191</v>
      </c>
      <c r="J40" s="44" t="s">
        <v>499</v>
      </c>
    </row>
    <row r="41" spans="1:11" x14ac:dyDescent="0.25">
      <c r="A41" s="40" t="s">
        <v>875</v>
      </c>
      <c r="B41" s="41">
        <v>66</v>
      </c>
      <c r="C41" s="42">
        <v>19</v>
      </c>
      <c r="D41" s="61" t="s">
        <v>602</v>
      </c>
      <c r="E41" s="41">
        <v>2007</v>
      </c>
      <c r="F41" s="40" t="s">
        <v>880</v>
      </c>
      <c r="G41" s="44">
        <v>170</v>
      </c>
      <c r="H41" s="44">
        <v>110</v>
      </c>
      <c r="I41" s="44">
        <v>240</v>
      </c>
      <c r="J41" s="44">
        <v>520</v>
      </c>
    </row>
    <row r="42" spans="1:11" x14ac:dyDescent="0.25">
      <c r="A42" s="40" t="s">
        <v>875</v>
      </c>
      <c r="B42" s="41">
        <v>66</v>
      </c>
      <c r="C42" s="42">
        <v>28</v>
      </c>
      <c r="D42" s="61" t="s">
        <v>603</v>
      </c>
      <c r="E42" s="41" t="s">
        <v>7</v>
      </c>
      <c r="F42" s="40" t="s">
        <v>604</v>
      </c>
      <c r="G42" s="44" t="s">
        <v>65</v>
      </c>
      <c r="H42" s="44" t="s">
        <v>605</v>
      </c>
      <c r="I42" s="44" t="s">
        <v>168</v>
      </c>
      <c r="J42" s="44" t="s">
        <v>279</v>
      </c>
    </row>
    <row r="43" spans="1:11" x14ac:dyDescent="0.25">
      <c r="A43" s="40" t="s">
        <v>875</v>
      </c>
      <c r="B43" s="41">
        <v>66</v>
      </c>
      <c r="C43" s="42">
        <v>15</v>
      </c>
      <c r="D43" s="61" t="s">
        <v>606</v>
      </c>
      <c r="E43" s="41" t="s">
        <v>139</v>
      </c>
      <c r="F43" s="40" t="s">
        <v>599</v>
      </c>
      <c r="G43" s="44" t="s">
        <v>117</v>
      </c>
      <c r="H43" s="44" t="s">
        <v>23</v>
      </c>
      <c r="I43" s="44" t="s">
        <v>255</v>
      </c>
      <c r="J43" s="44" t="s">
        <v>607</v>
      </c>
    </row>
    <row r="44" spans="1:11" x14ac:dyDescent="0.25">
      <c r="A44" s="40" t="s">
        <v>875</v>
      </c>
      <c r="B44" s="41">
        <v>74</v>
      </c>
      <c r="C44" s="42">
        <v>70</v>
      </c>
      <c r="D44" s="61" t="s">
        <v>616</v>
      </c>
      <c r="E44" s="41" t="s">
        <v>7</v>
      </c>
      <c r="F44" s="40" t="s">
        <v>617</v>
      </c>
      <c r="G44" s="44">
        <v>25</v>
      </c>
      <c r="H44" s="44">
        <v>25</v>
      </c>
      <c r="I44" s="44">
        <v>25</v>
      </c>
      <c r="J44" s="44">
        <v>75</v>
      </c>
      <c r="K44" s="70"/>
    </row>
    <row r="45" spans="1:11" x14ac:dyDescent="0.25">
      <c r="A45" s="40"/>
      <c r="B45" s="41"/>
      <c r="C45" s="42"/>
      <c r="D45" s="38" t="s">
        <v>940</v>
      </c>
      <c r="E45" s="41"/>
      <c r="F45" s="40"/>
      <c r="G45" s="44"/>
      <c r="H45" s="44"/>
      <c r="I45" s="44"/>
      <c r="J45" s="44"/>
      <c r="K45" s="71"/>
    </row>
    <row r="46" spans="1:11" x14ac:dyDescent="0.25">
      <c r="A46" s="40"/>
      <c r="B46" s="41"/>
      <c r="C46" s="42"/>
      <c r="D46" s="38" t="s">
        <v>904</v>
      </c>
      <c r="E46" s="41"/>
      <c r="F46" s="40"/>
      <c r="G46" s="44"/>
      <c r="H46" s="44"/>
      <c r="I46" s="44"/>
      <c r="J46" s="44"/>
      <c r="K46" s="71"/>
    </row>
    <row r="47" spans="1:11" x14ac:dyDescent="0.25">
      <c r="A47" s="40" t="s">
        <v>4</v>
      </c>
      <c r="B47" s="41">
        <v>66</v>
      </c>
      <c r="C47" s="42">
        <v>18</v>
      </c>
      <c r="D47" s="61" t="s">
        <v>76</v>
      </c>
      <c r="E47" s="41" t="s">
        <v>77</v>
      </c>
      <c r="F47" s="40" t="s">
        <v>53</v>
      </c>
      <c r="G47" s="44" t="s">
        <v>78</v>
      </c>
      <c r="H47" s="44" t="s">
        <v>42</v>
      </c>
      <c r="I47" s="44" t="s">
        <v>61</v>
      </c>
      <c r="J47" s="44" t="s">
        <v>79</v>
      </c>
    </row>
    <row r="48" spans="1:11" x14ac:dyDescent="0.25">
      <c r="A48" s="40" t="s">
        <v>4</v>
      </c>
      <c r="B48" s="41">
        <v>66</v>
      </c>
      <c r="C48" s="42">
        <v>86</v>
      </c>
      <c r="D48" s="61" t="s">
        <v>80</v>
      </c>
      <c r="E48" s="41" t="s">
        <v>81</v>
      </c>
      <c r="F48" s="40" t="s">
        <v>82</v>
      </c>
      <c r="G48" s="44" t="s">
        <v>83</v>
      </c>
      <c r="H48" s="44" t="s">
        <v>84</v>
      </c>
      <c r="I48" s="44" t="s">
        <v>85</v>
      </c>
      <c r="J48" s="44" t="s">
        <v>86</v>
      </c>
    </row>
    <row r="49" spans="1:10" x14ac:dyDescent="0.25">
      <c r="A49" s="40" t="s">
        <v>4</v>
      </c>
      <c r="B49" s="41">
        <v>66</v>
      </c>
      <c r="C49" s="42">
        <v>50</v>
      </c>
      <c r="D49" s="61" t="s">
        <v>87</v>
      </c>
      <c r="E49" s="41" t="s">
        <v>88</v>
      </c>
      <c r="F49" s="40" t="s">
        <v>89</v>
      </c>
      <c r="G49" s="44" t="s">
        <v>35</v>
      </c>
      <c r="H49" s="44" t="s">
        <v>90</v>
      </c>
      <c r="I49" s="44" t="s">
        <v>91</v>
      </c>
      <c r="J49" s="44" t="s">
        <v>92</v>
      </c>
    </row>
    <row r="50" spans="1:10" x14ac:dyDescent="0.25">
      <c r="A50" s="40" t="s">
        <v>4</v>
      </c>
      <c r="B50" s="41">
        <v>66</v>
      </c>
      <c r="C50" s="42">
        <v>68</v>
      </c>
      <c r="D50" s="61" t="s">
        <v>93</v>
      </c>
      <c r="E50" s="41" t="s">
        <v>88</v>
      </c>
      <c r="F50" s="40" t="s">
        <v>53</v>
      </c>
      <c r="G50" s="44" t="s">
        <v>94</v>
      </c>
      <c r="H50" s="44" t="s">
        <v>55</v>
      </c>
      <c r="I50" s="44" t="s">
        <v>94</v>
      </c>
      <c r="J50" s="44" t="s">
        <v>95</v>
      </c>
    </row>
    <row r="51" spans="1:10" x14ac:dyDescent="0.25">
      <c r="A51" s="40" t="s">
        <v>4</v>
      </c>
      <c r="B51" s="41">
        <v>66</v>
      </c>
      <c r="C51" s="42">
        <v>78</v>
      </c>
      <c r="D51" s="61" t="s">
        <v>96</v>
      </c>
      <c r="E51" s="41" t="s">
        <v>97</v>
      </c>
      <c r="F51" s="40" t="s">
        <v>73</v>
      </c>
      <c r="G51" s="44" t="s">
        <v>98</v>
      </c>
      <c r="H51" s="44" t="s">
        <v>99</v>
      </c>
      <c r="I51" s="44" t="s">
        <v>100</v>
      </c>
      <c r="J51" s="44" t="s">
        <v>101</v>
      </c>
    </row>
    <row r="52" spans="1:10" x14ac:dyDescent="0.25">
      <c r="A52" s="40" t="s">
        <v>4</v>
      </c>
      <c r="B52" s="41">
        <v>66</v>
      </c>
      <c r="C52" s="42">
        <v>38</v>
      </c>
      <c r="D52" s="61" t="s">
        <v>102</v>
      </c>
      <c r="E52" s="41" t="s">
        <v>103</v>
      </c>
      <c r="F52" s="40" t="s">
        <v>104</v>
      </c>
      <c r="G52" s="44" t="s">
        <v>105</v>
      </c>
      <c r="H52" s="44" t="s">
        <v>106</v>
      </c>
      <c r="I52" s="44" t="s">
        <v>107</v>
      </c>
      <c r="J52" s="44" t="s">
        <v>108</v>
      </c>
    </row>
    <row r="53" spans="1:10" x14ac:dyDescent="0.25">
      <c r="A53" s="40" t="s">
        <v>4</v>
      </c>
      <c r="B53" s="41">
        <v>66</v>
      </c>
      <c r="C53" s="42">
        <v>13</v>
      </c>
      <c r="D53" s="61" t="s">
        <v>522</v>
      </c>
      <c r="E53" s="41" t="s">
        <v>145</v>
      </c>
      <c r="F53" s="40" t="s">
        <v>89</v>
      </c>
      <c r="G53" s="69"/>
      <c r="H53" s="41" t="s">
        <v>84</v>
      </c>
      <c r="I53" s="69"/>
      <c r="J53" s="69"/>
    </row>
    <row r="54" spans="1:10" x14ac:dyDescent="0.25">
      <c r="A54" s="40" t="s">
        <v>4</v>
      </c>
      <c r="B54" s="41">
        <v>66</v>
      </c>
      <c r="C54" s="42">
        <v>8</v>
      </c>
      <c r="D54" s="61" t="s">
        <v>523</v>
      </c>
      <c r="E54" s="41" t="s">
        <v>97</v>
      </c>
      <c r="F54" s="40" t="s">
        <v>128</v>
      </c>
      <c r="G54" s="69"/>
      <c r="H54" s="41" t="s">
        <v>345</v>
      </c>
      <c r="I54" s="69"/>
      <c r="J54" s="69"/>
    </row>
    <row r="55" spans="1:10" x14ac:dyDescent="0.25">
      <c r="A55" s="40" t="s">
        <v>324</v>
      </c>
      <c r="B55" s="41">
        <v>66</v>
      </c>
      <c r="C55" s="42">
        <v>7</v>
      </c>
      <c r="D55" s="61" t="s">
        <v>337</v>
      </c>
      <c r="E55" s="41" t="s">
        <v>77</v>
      </c>
      <c r="F55" s="40" t="s">
        <v>128</v>
      </c>
      <c r="G55" s="44" t="s">
        <v>140</v>
      </c>
      <c r="H55" s="44" t="s">
        <v>47</v>
      </c>
      <c r="I55" s="44" t="s">
        <v>107</v>
      </c>
      <c r="J55" s="44" t="s">
        <v>338</v>
      </c>
    </row>
    <row r="56" spans="1:10" x14ac:dyDescent="0.25">
      <c r="A56" s="40" t="s">
        <v>324</v>
      </c>
      <c r="B56" s="41">
        <v>66</v>
      </c>
      <c r="C56" s="42">
        <v>56</v>
      </c>
      <c r="D56" s="61" t="s">
        <v>339</v>
      </c>
      <c r="E56" s="41">
        <v>2004</v>
      </c>
      <c r="F56" s="40" t="s">
        <v>73</v>
      </c>
      <c r="G56" s="44">
        <v>212.5</v>
      </c>
      <c r="H56" s="44">
        <v>140.5</v>
      </c>
      <c r="I56" s="44">
        <v>240</v>
      </c>
      <c r="J56" s="44">
        <v>593</v>
      </c>
    </row>
    <row r="57" spans="1:10" x14ac:dyDescent="0.25">
      <c r="A57" s="40" t="s">
        <v>324</v>
      </c>
      <c r="B57" s="41">
        <v>66</v>
      </c>
      <c r="C57" s="42">
        <v>79</v>
      </c>
      <c r="D57" s="61" t="s">
        <v>340</v>
      </c>
      <c r="E57" s="41" t="s">
        <v>34</v>
      </c>
      <c r="F57" s="40" t="s">
        <v>73</v>
      </c>
      <c r="G57" s="44" t="s">
        <v>35</v>
      </c>
      <c r="H57" s="44" t="s">
        <v>341</v>
      </c>
      <c r="I57" s="44" t="s">
        <v>94</v>
      </c>
      <c r="J57" s="44" t="s">
        <v>342</v>
      </c>
    </row>
    <row r="58" spans="1:10" x14ac:dyDescent="0.25">
      <c r="A58" s="40" t="s">
        <v>324</v>
      </c>
      <c r="B58" s="41">
        <v>66</v>
      </c>
      <c r="C58" s="42">
        <v>93</v>
      </c>
      <c r="D58" s="61" t="s">
        <v>343</v>
      </c>
      <c r="E58" s="41" t="s">
        <v>45</v>
      </c>
      <c r="F58" s="40" t="s">
        <v>58</v>
      </c>
      <c r="G58" s="44" t="s">
        <v>35</v>
      </c>
      <c r="H58" s="44" t="s">
        <v>66</v>
      </c>
      <c r="I58" s="44" t="s">
        <v>191</v>
      </c>
      <c r="J58" s="44" t="s">
        <v>344</v>
      </c>
    </row>
    <row r="59" spans="1:10" x14ac:dyDescent="0.25">
      <c r="A59" s="75" t="s">
        <v>958</v>
      </c>
      <c r="B59" s="75"/>
      <c r="C59" s="75"/>
      <c r="D59" s="75"/>
      <c r="E59" s="75"/>
      <c r="F59" s="75"/>
      <c r="G59" s="75"/>
      <c r="H59" s="75"/>
      <c r="I59" s="75"/>
      <c r="J59" s="75"/>
    </row>
    <row r="60" spans="1:10" x14ac:dyDescent="0.25">
      <c r="A60" s="78" t="s">
        <v>949</v>
      </c>
      <c r="B60" s="78"/>
      <c r="C60" s="78"/>
      <c r="D60" s="78"/>
      <c r="E60" s="78"/>
      <c r="F60" s="78"/>
      <c r="G60" s="78"/>
      <c r="H60" s="78"/>
      <c r="I60" s="78"/>
      <c r="J60" s="78"/>
    </row>
    <row r="61" spans="1:10" x14ac:dyDescent="0.25">
      <c r="A61" s="78" t="s">
        <v>935</v>
      </c>
      <c r="B61" s="78"/>
      <c r="C61" s="78"/>
      <c r="D61" s="78"/>
      <c r="E61" s="78"/>
      <c r="F61" s="78"/>
      <c r="G61" s="78"/>
      <c r="H61" s="78"/>
      <c r="I61" s="78"/>
      <c r="J61" s="78"/>
    </row>
    <row r="62" spans="1:10" s="22" customFormat="1" x14ac:dyDescent="0.25">
      <c r="A62" s="77" t="s">
        <v>936</v>
      </c>
      <c r="B62" s="77"/>
      <c r="C62" s="77"/>
      <c r="D62" s="77"/>
      <c r="E62" s="77"/>
      <c r="F62" s="77"/>
      <c r="G62" s="77"/>
      <c r="H62" s="77"/>
      <c r="I62" s="77"/>
      <c r="J62" s="77"/>
    </row>
    <row r="63" spans="1:10" x14ac:dyDescent="0.25">
      <c r="A63" s="30" t="s">
        <v>0</v>
      </c>
      <c r="B63" s="30" t="s">
        <v>1</v>
      </c>
      <c r="C63" s="30" t="s">
        <v>931</v>
      </c>
      <c r="D63" s="37" t="s">
        <v>889</v>
      </c>
      <c r="E63" s="30" t="s">
        <v>890</v>
      </c>
      <c r="F63" s="30" t="s">
        <v>891</v>
      </c>
      <c r="G63" s="32" t="s">
        <v>874</v>
      </c>
      <c r="H63" s="32" t="s">
        <v>887</v>
      </c>
      <c r="I63" s="32" t="s">
        <v>888</v>
      </c>
      <c r="J63" s="32" t="s">
        <v>3</v>
      </c>
    </row>
    <row r="64" spans="1:10" s="22" customFormat="1" ht="15" customHeight="1" x14ac:dyDescent="0.25">
      <c r="A64" s="28"/>
      <c r="B64" s="28"/>
      <c r="C64" s="28"/>
      <c r="D64" s="38" t="s">
        <v>939</v>
      </c>
      <c r="E64" s="28"/>
      <c r="F64" s="28"/>
      <c r="G64" s="29"/>
      <c r="H64" s="29"/>
      <c r="I64" s="29"/>
      <c r="J64" s="29"/>
    </row>
    <row r="65" spans="1:10" x14ac:dyDescent="0.25">
      <c r="A65" s="40"/>
      <c r="B65" s="41"/>
      <c r="C65" s="42"/>
      <c r="D65" s="33" t="s">
        <v>905</v>
      </c>
      <c r="E65" s="41"/>
      <c r="F65" s="40"/>
      <c r="G65" s="44"/>
      <c r="H65" s="44"/>
      <c r="I65" s="44"/>
      <c r="J65" s="44"/>
    </row>
    <row r="66" spans="1:10" x14ac:dyDescent="0.25">
      <c r="A66" s="40" t="s">
        <v>883</v>
      </c>
      <c r="B66" s="41">
        <v>74</v>
      </c>
      <c r="C66" s="42">
        <v>60</v>
      </c>
      <c r="D66" s="61" t="s">
        <v>430</v>
      </c>
      <c r="E66" s="41" t="s">
        <v>431</v>
      </c>
      <c r="F66" s="40" t="s">
        <v>89</v>
      </c>
      <c r="G66" s="44" t="s">
        <v>255</v>
      </c>
      <c r="H66" s="44" t="s">
        <v>274</v>
      </c>
      <c r="I66" s="44" t="s">
        <v>83</v>
      </c>
      <c r="J66" s="44" t="s">
        <v>382</v>
      </c>
    </row>
    <row r="67" spans="1:10" x14ac:dyDescent="0.25">
      <c r="A67" s="40" t="s">
        <v>883</v>
      </c>
      <c r="B67" s="41">
        <v>74</v>
      </c>
      <c r="C67" s="42">
        <v>5</v>
      </c>
      <c r="D67" s="61" t="s">
        <v>432</v>
      </c>
      <c r="E67" s="41" t="s">
        <v>52</v>
      </c>
      <c r="F67" s="40" t="s">
        <v>53</v>
      </c>
      <c r="G67" s="44" t="s">
        <v>433</v>
      </c>
      <c r="H67" s="44" t="s">
        <v>274</v>
      </c>
      <c r="I67" s="44" t="s">
        <v>168</v>
      </c>
      <c r="J67" s="44" t="s">
        <v>434</v>
      </c>
    </row>
    <row r="68" spans="1:10" x14ac:dyDescent="0.25">
      <c r="A68" s="40" t="s">
        <v>883</v>
      </c>
      <c r="B68" s="41">
        <v>74</v>
      </c>
      <c r="C68" s="42">
        <v>97</v>
      </c>
      <c r="D68" s="61" t="s">
        <v>435</v>
      </c>
      <c r="E68" s="41" t="s">
        <v>52</v>
      </c>
      <c r="F68" s="40" t="s">
        <v>128</v>
      </c>
      <c r="G68" s="44" t="s">
        <v>16</v>
      </c>
      <c r="H68" s="44" t="s">
        <v>11</v>
      </c>
      <c r="I68" s="44" t="s">
        <v>273</v>
      </c>
      <c r="J68" s="44" t="s">
        <v>436</v>
      </c>
    </row>
    <row r="69" spans="1:10" x14ac:dyDescent="0.25">
      <c r="A69" s="40" t="s">
        <v>883</v>
      </c>
      <c r="B69" s="41">
        <v>74</v>
      </c>
      <c r="C69" s="42">
        <v>97</v>
      </c>
      <c r="D69" s="61" t="s">
        <v>435</v>
      </c>
      <c r="E69" s="41" t="s">
        <v>52</v>
      </c>
      <c r="F69" s="40" t="s">
        <v>128</v>
      </c>
      <c r="G69" s="69"/>
      <c r="H69" s="41" t="s">
        <v>11</v>
      </c>
      <c r="I69" s="69"/>
      <c r="J69" s="69"/>
    </row>
    <row r="70" spans="1:10" x14ac:dyDescent="0.25">
      <c r="A70" s="40" t="s">
        <v>883</v>
      </c>
      <c r="B70" s="41">
        <v>74</v>
      </c>
      <c r="C70" s="42">
        <v>2</v>
      </c>
      <c r="D70" s="61" t="s">
        <v>437</v>
      </c>
      <c r="E70" s="41" t="s">
        <v>431</v>
      </c>
      <c r="F70" s="40" t="s">
        <v>82</v>
      </c>
      <c r="G70" s="69"/>
      <c r="H70" s="41" t="s">
        <v>345</v>
      </c>
      <c r="I70" s="69"/>
      <c r="J70" s="69"/>
    </row>
    <row r="71" spans="1:10" x14ac:dyDescent="0.25">
      <c r="A71" s="40" t="s">
        <v>884</v>
      </c>
      <c r="B71" s="41">
        <v>74</v>
      </c>
      <c r="C71" s="42">
        <v>25</v>
      </c>
      <c r="D71" s="61" t="s">
        <v>472</v>
      </c>
      <c r="E71" s="41" t="s">
        <v>473</v>
      </c>
      <c r="F71" s="40" t="s">
        <v>58</v>
      </c>
      <c r="G71" s="44" t="s">
        <v>117</v>
      </c>
      <c r="H71" s="44" t="s">
        <v>274</v>
      </c>
      <c r="I71" s="44" t="s">
        <v>168</v>
      </c>
      <c r="J71" s="44" t="s">
        <v>332</v>
      </c>
    </row>
    <row r="72" spans="1:10" x14ac:dyDescent="0.25">
      <c r="A72" s="40" t="s">
        <v>884</v>
      </c>
      <c r="B72" s="41">
        <v>74</v>
      </c>
      <c r="C72" s="42">
        <v>31</v>
      </c>
      <c r="D72" s="61" t="s">
        <v>474</v>
      </c>
      <c r="E72" s="41" t="s">
        <v>475</v>
      </c>
      <c r="F72" s="40" t="s">
        <v>82</v>
      </c>
      <c r="G72" s="44" t="s">
        <v>84</v>
      </c>
      <c r="H72" s="44" t="s">
        <v>308</v>
      </c>
      <c r="I72" s="44" t="s">
        <v>30</v>
      </c>
      <c r="J72" s="44" t="s">
        <v>476</v>
      </c>
    </row>
    <row r="73" spans="1:10" x14ac:dyDescent="0.25">
      <c r="A73" s="40" t="s">
        <v>884</v>
      </c>
      <c r="B73" s="41">
        <v>74</v>
      </c>
      <c r="C73" s="42">
        <v>88</v>
      </c>
      <c r="D73" s="61" t="s">
        <v>477</v>
      </c>
      <c r="E73" s="41" t="s">
        <v>478</v>
      </c>
      <c r="F73" s="40" t="s">
        <v>89</v>
      </c>
      <c r="G73" s="44" t="s">
        <v>42</v>
      </c>
      <c r="H73" s="44" t="s">
        <v>345</v>
      </c>
      <c r="I73" s="44" t="s">
        <v>154</v>
      </c>
      <c r="J73" s="44" t="s">
        <v>479</v>
      </c>
    </row>
    <row r="74" spans="1:10" x14ac:dyDescent="0.25">
      <c r="A74" s="40" t="s">
        <v>884</v>
      </c>
      <c r="B74" s="41">
        <v>74</v>
      </c>
      <c r="C74" s="42">
        <v>80</v>
      </c>
      <c r="D74" s="61" t="s">
        <v>474</v>
      </c>
      <c r="E74" s="41" t="s">
        <v>475</v>
      </c>
      <c r="F74" s="40" t="s">
        <v>82</v>
      </c>
      <c r="G74" s="69"/>
      <c r="H74" s="41" t="s">
        <v>16</v>
      </c>
      <c r="I74" s="69"/>
      <c r="J74" s="69"/>
    </row>
    <row r="75" spans="1:10" x14ac:dyDescent="0.25">
      <c r="A75" s="40" t="s">
        <v>884</v>
      </c>
      <c r="B75" s="41">
        <v>74</v>
      </c>
      <c r="C75" s="42">
        <v>57</v>
      </c>
      <c r="D75" s="61" t="s">
        <v>472</v>
      </c>
      <c r="E75" s="41" t="s">
        <v>473</v>
      </c>
      <c r="F75" s="40" t="s">
        <v>58</v>
      </c>
      <c r="G75" s="69"/>
      <c r="H75" s="41" t="s">
        <v>274</v>
      </c>
      <c r="I75" s="69"/>
      <c r="J75" s="69"/>
    </row>
    <row r="76" spans="1:10" x14ac:dyDescent="0.25">
      <c r="A76" s="40" t="s">
        <v>884</v>
      </c>
      <c r="B76" s="41">
        <v>74</v>
      </c>
      <c r="C76" s="42">
        <v>55</v>
      </c>
      <c r="D76" s="61" t="s">
        <v>477</v>
      </c>
      <c r="E76" s="41" t="s">
        <v>478</v>
      </c>
      <c r="F76" s="40" t="s">
        <v>89</v>
      </c>
      <c r="G76" s="69"/>
      <c r="H76" s="41" t="s">
        <v>36</v>
      </c>
      <c r="I76" s="69"/>
      <c r="J76" s="69"/>
    </row>
    <row r="77" spans="1:10" x14ac:dyDescent="0.25">
      <c r="A77" s="40" t="s">
        <v>885</v>
      </c>
      <c r="B77" s="41">
        <v>74</v>
      </c>
      <c r="C77" s="42">
        <v>94</v>
      </c>
      <c r="D77" s="61" t="s">
        <v>502</v>
      </c>
      <c r="E77" s="41" t="s">
        <v>503</v>
      </c>
      <c r="F77" s="40" t="s">
        <v>82</v>
      </c>
      <c r="G77" s="44" t="s">
        <v>59</v>
      </c>
      <c r="H77" s="44" t="s">
        <v>256</v>
      </c>
      <c r="I77" s="44" t="s">
        <v>124</v>
      </c>
      <c r="J77" s="44" t="s">
        <v>260</v>
      </c>
    </row>
    <row r="78" spans="1:10" x14ac:dyDescent="0.25">
      <c r="A78" s="40" t="s">
        <v>885</v>
      </c>
      <c r="B78" s="41">
        <v>74</v>
      </c>
      <c r="C78" s="42">
        <v>33</v>
      </c>
      <c r="D78" s="61" t="s">
        <v>504</v>
      </c>
      <c r="E78" s="41" t="s">
        <v>505</v>
      </c>
      <c r="F78" s="40" t="s">
        <v>58</v>
      </c>
      <c r="G78" s="44" t="s">
        <v>65</v>
      </c>
      <c r="H78" s="44" t="s">
        <v>268</v>
      </c>
      <c r="I78" s="44" t="s">
        <v>83</v>
      </c>
      <c r="J78" s="44" t="s">
        <v>330</v>
      </c>
    </row>
    <row r="79" spans="1:10" x14ac:dyDescent="0.25">
      <c r="A79" s="40" t="s">
        <v>885</v>
      </c>
      <c r="B79" s="41">
        <v>74</v>
      </c>
      <c r="C79" s="42">
        <v>61</v>
      </c>
      <c r="D79" s="61" t="s">
        <v>506</v>
      </c>
      <c r="E79" s="41" t="s">
        <v>507</v>
      </c>
      <c r="F79" s="40" t="s">
        <v>89</v>
      </c>
      <c r="G79" s="44" t="s">
        <v>186</v>
      </c>
      <c r="H79" s="44" t="s">
        <v>508</v>
      </c>
      <c r="I79" s="44" t="s">
        <v>67</v>
      </c>
      <c r="J79" s="44" t="s">
        <v>509</v>
      </c>
    </row>
    <row r="80" spans="1:10" x14ac:dyDescent="0.25">
      <c r="A80" s="40"/>
      <c r="B80" s="41"/>
      <c r="C80" s="42"/>
      <c r="D80" s="38" t="s">
        <v>940</v>
      </c>
      <c r="E80" s="41"/>
      <c r="F80" s="40"/>
      <c r="G80" s="44"/>
      <c r="H80" s="44"/>
      <c r="I80" s="44"/>
      <c r="J80" s="44"/>
    </row>
    <row r="81" spans="1:10" x14ac:dyDescent="0.25">
      <c r="A81" s="40"/>
      <c r="B81" s="41"/>
      <c r="C81" s="42"/>
      <c r="D81" s="38" t="s">
        <v>905</v>
      </c>
      <c r="E81" s="41"/>
      <c r="F81" s="40"/>
      <c r="G81" s="44"/>
      <c r="H81" s="44"/>
      <c r="I81" s="44"/>
      <c r="J81" s="44"/>
    </row>
    <row r="82" spans="1:10" x14ac:dyDescent="0.25">
      <c r="A82" s="40" t="s">
        <v>4</v>
      </c>
      <c r="B82" s="41">
        <v>74</v>
      </c>
      <c r="C82" s="42">
        <v>75</v>
      </c>
      <c r="D82" s="61" t="s">
        <v>114</v>
      </c>
      <c r="E82" s="41" t="s">
        <v>88</v>
      </c>
      <c r="F82" s="40" t="s">
        <v>58</v>
      </c>
      <c r="G82" s="44" t="s">
        <v>91</v>
      </c>
      <c r="H82" s="44" t="s">
        <v>18</v>
      </c>
      <c r="I82" s="44" t="s">
        <v>61</v>
      </c>
      <c r="J82" s="44" t="s">
        <v>113</v>
      </c>
    </row>
    <row r="83" spans="1:10" x14ac:dyDescent="0.25">
      <c r="A83" s="40" t="s">
        <v>4</v>
      </c>
      <c r="B83" s="41">
        <v>74</v>
      </c>
      <c r="C83" s="42">
        <v>6</v>
      </c>
      <c r="D83" s="61" t="s">
        <v>111</v>
      </c>
      <c r="E83" s="41" t="s">
        <v>103</v>
      </c>
      <c r="F83" s="40" t="s">
        <v>53</v>
      </c>
      <c r="G83" s="44" t="s">
        <v>107</v>
      </c>
      <c r="H83" s="44" t="s">
        <v>47</v>
      </c>
      <c r="I83" s="44" t="s">
        <v>112</v>
      </c>
      <c r="J83" s="44" t="s">
        <v>113</v>
      </c>
    </row>
    <row r="84" spans="1:10" x14ac:dyDescent="0.25">
      <c r="A84" s="40" t="s">
        <v>4</v>
      </c>
      <c r="B84" s="41">
        <v>74</v>
      </c>
      <c r="C84" s="42">
        <v>59</v>
      </c>
      <c r="D84" s="61" t="s">
        <v>115</v>
      </c>
      <c r="E84" s="41" t="s">
        <v>14</v>
      </c>
      <c r="F84" s="40" t="s">
        <v>73</v>
      </c>
      <c r="G84" s="44" t="s">
        <v>116</v>
      </c>
      <c r="H84" s="44" t="s">
        <v>117</v>
      </c>
      <c r="I84" s="44" t="s">
        <v>85</v>
      </c>
      <c r="J84" s="44" t="s">
        <v>118</v>
      </c>
    </row>
    <row r="85" spans="1:10" x14ac:dyDescent="0.25">
      <c r="A85" s="40" t="s">
        <v>4</v>
      </c>
      <c r="B85" s="41">
        <v>74</v>
      </c>
      <c r="C85" s="42">
        <v>37</v>
      </c>
      <c r="D85" s="61" t="s">
        <v>119</v>
      </c>
      <c r="E85" s="41" t="s">
        <v>120</v>
      </c>
      <c r="F85" s="40" t="s">
        <v>53</v>
      </c>
      <c r="G85" s="44" t="s">
        <v>54</v>
      </c>
      <c r="H85" s="44" t="s">
        <v>16</v>
      </c>
      <c r="I85" s="44" t="s">
        <v>121</v>
      </c>
      <c r="J85" s="44" t="s">
        <v>122</v>
      </c>
    </row>
    <row r="86" spans="1:10" x14ac:dyDescent="0.25">
      <c r="A86" s="40" t="s">
        <v>4</v>
      </c>
      <c r="B86" s="41">
        <v>74</v>
      </c>
      <c r="C86" s="42">
        <v>48</v>
      </c>
      <c r="D86" s="61" t="s">
        <v>123</v>
      </c>
      <c r="E86" s="41" t="s">
        <v>97</v>
      </c>
      <c r="F86" s="40" t="s">
        <v>82</v>
      </c>
      <c r="G86" s="44" t="s">
        <v>124</v>
      </c>
      <c r="H86" s="44" t="s">
        <v>125</v>
      </c>
      <c r="I86" s="44" t="s">
        <v>107</v>
      </c>
      <c r="J86" s="44" t="s">
        <v>126</v>
      </c>
    </row>
    <row r="87" spans="1:10" x14ac:dyDescent="0.25">
      <c r="A87" s="40" t="s">
        <v>4</v>
      </c>
      <c r="B87" s="41">
        <v>74</v>
      </c>
      <c r="C87" s="42">
        <v>89</v>
      </c>
      <c r="D87" s="61" t="s">
        <v>127</v>
      </c>
      <c r="E87" s="41" t="s">
        <v>28</v>
      </c>
      <c r="F87" s="40" t="s">
        <v>128</v>
      </c>
      <c r="G87" s="44" t="s">
        <v>61</v>
      </c>
      <c r="H87" s="44" t="s">
        <v>42</v>
      </c>
      <c r="I87" s="44" t="s">
        <v>85</v>
      </c>
      <c r="J87" s="44" t="s">
        <v>129</v>
      </c>
    </row>
    <row r="88" spans="1:10" x14ac:dyDescent="0.25">
      <c r="A88" s="40" t="s">
        <v>4</v>
      </c>
      <c r="B88" s="41">
        <v>74</v>
      </c>
      <c r="C88" s="42">
        <v>40</v>
      </c>
      <c r="D88" s="61" t="s">
        <v>130</v>
      </c>
      <c r="E88" s="41" t="s">
        <v>131</v>
      </c>
      <c r="F88" s="40" t="s">
        <v>82</v>
      </c>
      <c r="G88" s="44" t="s">
        <v>54</v>
      </c>
      <c r="H88" s="44" t="s">
        <v>132</v>
      </c>
      <c r="I88" s="44" t="s">
        <v>107</v>
      </c>
      <c r="J88" s="44" t="s">
        <v>133</v>
      </c>
    </row>
    <row r="89" spans="1:10" x14ac:dyDescent="0.25">
      <c r="A89" s="40" t="s">
        <v>4</v>
      </c>
      <c r="B89" s="41">
        <v>74</v>
      </c>
      <c r="C89" s="42">
        <v>47</v>
      </c>
      <c r="D89" s="61" t="s">
        <v>134</v>
      </c>
      <c r="E89" s="41" t="s">
        <v>81</v>
      </c>
      <c r="F89" s="40" t="s">
        <v>135</v>
      </c>
      <c r="G89" s="44" t="s">
        <v>116</v>
      </c>
      <c r="H89" s="44" t="s">
        <v>84</v>
      </c>
      <c r="I89" s="44" t="s">
        <v>116</v>
      </c>
      <c r="J89" s="44" t="s">
        <v>133</v>
      </c>
    </row>
    <row r="90" spans="1:10" x14ac:dyDescent="0.25">
      <c r="A90" s="40" t="s">
        <v>4</v>
      </c>
      <c r="B90" s="41">
        <v>74</v>
      </c>
      <c r="C90" s="42">
        <v>77</v>
      </c>
      <c r="D90" s="61" t="s">
        <v>136</v>
      </c>
      <c r="E90" s="41" t="s">
        <v>131</v>
      </c>
      <c r="F90" s="40" t="s">
        <v>89</v>
      </c>
      <c r="G90" s="44" t="s">
        <v>56</v>
      </c>
      <c r="H90" s="44" t="s">
        <v>99</v>
      </c>
      <c r="I90" s="44" t="s">
        <v>137</v>
      </c>
      <c r="J90" s="44" t="s">
        <v>138</v>
      </c>
    </row>
    <row r="91" spans="1:10" x14ac:dyDescent="0.25">
      <c r="A91" s="40" t="s">
        <v>4</v>
      </c>
      <c r="B91" s="41">
        <v>74</v>
      </c>
      <c r="C91" s="42">
        <v>82</v>
      </c>
      <c r="D91" s="61" t="s">
        <v>144</v>
      </c>
      <c r="E91" s="41" t="s">
        <v>145</v>
      </c>
      <c r="F91" s="40" t="s">
        <v>89</v>
      </c>
      <c r="G91" s="44" t="s">
        <v>146</v>
      </c>
      <c r="H91" s="44" t="s">
        <v>11</v>
      </c>
      <c r="I91" s="44" t="s">
        <v>147</v>
      </c>
      <c r="J91" s="44" t="s">
        <v>57</v>
      </c>
    </row>
    <row r="92" spans="1:10" x14ac:dyDescent="0.25">
      <c r="A92" s="40" t="s">
        <v>4</v>
      </c>
      <c r="B92" s="41">
        <v>74</v>
      </c>
      <c r="C92" s="42">
        <v>48</v>
      </c>
      <c r="D92" s="61" t="s">
        <v>123</v>
      </c>
      <c r="E92" s="41" t="s">
        <v>97</v>
      </c>
      <c r="F92" s="40" t="s">
        <v>82</v>
      </c>
      <c r="G92" s="69"/>
      <c r="H92" s="41" t="s">
        <v>125</v>
      </c>
      <c r="I92" s="69"/>
      <c r="J92" s="69"/>
    </row>
    <row r="93" spans="1:10" x14ac:dyDescent="0.25">
      <c r="A93" s="40" t="s">
        <v>4</v>
      </c>
      <c r="B93" s="41">
        <v>74</v>
      </c>
      <c r="C93" s="42">
        <v>81</v>
      </c>
      <c r="D93" s="61" t="s">
        <v>524</v>
      </c>
      <c r="E93" s="41" t="s">
        <v>97</v>
      </c>
      <c r="F93" s="40" t="s">
        <v>89</v>
      </c>
      <c r="G93" s="69"/>
      <c r="H93" s="41" t="s">
        <v>84</v>
      </c>
      <c r="I93" s="69"/>
      <c r="J93" s="69"/>
    </row>
    <row r="94" spans="1:10" x14ac:dyDescent="0.25">
      <c r="A94" s="40" t="s">
        <v>4</v>
      </c>
      <c r="B94" s="41">
        <v>74</v>
      </c>
      <c r="C94" s="42">
        <v>34</v>
      </c>
      <c r="D94" s="61" t="s">
        <v>525</v>
      </c>
      <c r="E94" s="41" t="s">
        <v>72</v>
      </c>
      <c r="F94" s="40" t="s">
        <v>128</v>
      </c>
      <c r="G94" s="69"/>
      <c r="H94" s="41" t="s">
        <v>84</v>
      </c>
      <c r="I94" s="69"/>
      <c r="J94" s="69"/>
    </row>
    <row r="95" spans="1:10" x14ac:dyDescent="0.25">
      <c r="A95" s="75" t="s">
        <v>958</v>
      </c>
      <c r="B95" s="75"/>
      <c r="C95" s="75"/>
      <c r="D95" s="75"/>
      <c r="E95" s="75"/>
      <c r="F95" s="75"/>
      <c r="G95" s="75"/>
      <c r="H95" s="75"/>
      <c r="I95" s="75"/>
      <c r="J95" s="75"/>
    </row>
    <row r="96" spans="1:10" x14ac:dyDescent="0.25">
      <c r="A96" s="78" t="s">
        <v>950</v>
      </c>
      <c r="B96" s="78"/>
      <c r="C96" s="78"/>
      <c r="D96" s="78"/>
      <c r="E96" s="78"/>
      <c r="F96" s="78"/>
      <c r="G96" s="78"/>
      <c r="H96" s="78"/>
      <c r="I96" s="78"/>
      <c r="J96" s="78"/>
    </row>
    <row r="97" spans="1:10" x14ac:dyDescent="0.25">
      <c r="A97" s="78" t="s">
        <v>935</v>
      </c>
      <c r="B97" s="78"/>
      <c r="C97" s="78"/>
      <c r="D97" s="78"/>
      <c r="E97" s="78"/>
      <c r="F97" s="78"/>
      <c r="G97" s="78"/>
      <c r="H97" s="78"/>
      <c r="I97" s="78"/>
      <c r="J97" s="78"/>
    </row>
    <row r="98" spans="1:10" s="22" customFormat="1" x14ac:dyDescent="0.25">
      <c r="A98" s="77" t="s">
        <v>936</v>
      </c>
      <c r="B98" s="77"/>
      <c r="C98" s="77"/>
      <c r="D98" s="77"/>
      <c r="E98" s="77"/>
      <c r="F98" s="77"/>
      <c r="G98" s="77"/>
      <c r="H98" s="77"/>
      <c r="I98" s="77"/>
      <c r="J98" s="77"/>
    </row>
    <row r="99" spans="1:10" x14ac:dyDescent="0.25">
      <c r="A99" s="30" t="s">
        <v>0</v>
      </c>
      <c r="B99" s="30" t="s">
        <v>1</v>
      </c>
      <c r="C99" s="30" t="s">
        <v>931</v>
      </c>
      <c r="D99" s="37" t="s">
        <v>889</v>
      </c>
      <c r="E99" s="30" t="s">
        <v>890</v>
      </c>
      <c r="F99" s="30" t="s">
        <v>891</v>
      </c>
      <c r="G99" s="32" t="s">
        <v>874</v>
      </c>
      <c r="H99" s="32" t="s">
        <v>887</v>
      </c>
      <c r="I99" s="32" t="s">
        <v>888</v>
      </c>
      <c r="J99" s="32" t="s">
        <v>3</v>
      </c>
    </row>
    <row r="100" spans="1:10" s="22" customFormat="1" x14ac:dyDescent="0.25">
      <c r="A100" s="28"/>
      <c r="B100" s="28"/>
      <c r="C100" s="28"/>
      <c r="D100" s="38" t="s">
        <v>905</v>
      </c>
      <c r="E100" s="28"/>
      <c r="F100" s="28"/>
      <c r="G100" s="29"/>
      <c r="H100" s="29"/>
      <c r="I100" s="29"/>
      <c r="J100" s="29"/>
    </row>
    <row r="101" spans="1:10" s="22" customFormat="1" ht="15" customHeight="1" x14ac:dyDescent="0.25">
      <c r="A101" s="28"/>
      <c r="B101" s="28"/>
      <c r="C101" s="28"/>
      <c r="D101" s="38" t="s">
        <v>939</v>
      </c>
      <c r="E101" s="28"/>
      <c r="F101" s="28"/>
      <c r="G101" s="29"/>
      <c r="H101" s="29"/>
      <c r="I101" s="29"/>
      <c r="J101" s="29"/>
    </row>
    <row r="102" spans="1:10" x14ac:dyDescent="0.25">
      <c r="A102" s="40" t="s">
        <v>911</v>
      </c>
      <c r="B102" s="41">
        <v>74</v>
      </c>
      <c r="C102" s="42">
        <v>1</v>
      </c>
      <c r="D102" s="61" t="s">
        <v>266</v>
      </c>
      <c r="E102" s="41" t="s">
        <v>246</v>
      </c>
      <c r="F102" s="40" t="s">
        <v>53</v>
      </c>
      <c r="G102" s="44" t="s">
        <v>140</v>
      </c>
      <c r="H102" s="44" t="s">
        <v>132</v>
      </c>
      <c r="I102" s="44" t="s">
        <v>142</v>
      </c>
      <c r="J102" s="44" t="s">
        <v>267</v>
      </c>
    </row>
    <row r="103" spans="1:10" x14ac:dyDescent="0.25">
      <c r="A103" s="40" t="s">
        <v>911</v>
      </c>
      <c r="B103" s="41">
        <v>74</v>
      </c>
      <c r="C103" s="42">
        <v>12</v>
      </c>
      <c r="D103" s="61" t="s">
        <v>269</v>
      </c>
      <c r="E103" s="41" t="s">
        <v>246</v>
      </c>
      <c r="F103" s="40" t="s">
        <v>109</v>
      </c>
      <c r="G103" s="44" t="s">
        <v>94</v>
      </c>
      <c r="H103" s="44" t="s">
        <v>60</v>
      </c>
      <c r="I103" s="44" t="s">
        <v>54</v>
      </c>
      <c r="J103" s="44" t="s">
        <v>270</v>
      </c>
    </row>
    <row r="104" spans="1:10" x14ac:dyDescent="0.25">
      <c r="A104" s="40" t="s">
        <v>911</v>
      </c>
      <c r="B104" s="41">
        <v>74</v>
      </c>
      <c r="C104" s="42">
        <v>27</v>
      </c>
      <c r="D104" s="61" t="s">
        <v>272</v>
      </c>
      <c r="E104" s="41" t="s">
        <v>246</v>
      </c>
      <c r="F104" s="40" t="s">
        <v>89</v>
      </c>
      <c r="G104" s="44" t="s">
        <v>273</v>
      </c>
      <c r="H104" s="44" t="s">
        <v>274</v>
      </c>
      <c r="I104" s="44" t="s">
        <v>94</v>
      </c>
      <c r="J104" s="44" t="s">
        <v>275</v>
      </c>
    </row>
    <row r="105" spans="1:10" x14ac:dyDescent="0.25">
      <c r="A105" s="40" t="s">
        <v>911</v>
      </c>
      <c r="B105" s="41">
        <v>74</v>
      </c>
      <c r="C105" s="42">
        <v>10</v>
      </c>
      <c r="D105" s="61" t="s">
        <v>276</v>
      </c>
      <c r="E105" s="41">
        <v>2008</v>
      </c>
      <c r="F105" s="40" t="s">
        <v>73</v>
      </c>
      <c r="G105" s="44">
        <v>182.5</v>
      </c>
      <c r="H105" s="44">
        <v>125</v>
      </c>
      <c r="I105" s="44">
        <v>237.5</v>
      </c>
      <c r="J105" s="44">
        <v>545</v>
      </c>
    </row>
    <row r="106" spans="1:10" x14ac:dyDescent="0.25">
      <c r="A106" s="40" t="s">
        <v>911</v>
      </c>
      <c r="B106" s="41">
        <v>74</v>
      </c>
      <c r="C106" s="42">
        <v>51</v>
      </c>
      <c r="D106" s="61" t="s">
        <v>277</v>
      </c>
      <c r="E106" s="41" t="s">
        <v>246</v>
      </c>
      <c r="F106" s="40" t="s">
        <v>128</v>
      </c>
      <c r="G106" s="44" t="s">
        <v>186</v>
      </c>
      <c r="H106" s="44" t="s">
        <v>278</v>
      </c>
      <c r="I106" s="44" t="s">
        <v>168</v>
      </c>
      <c r="J106" s="44" t="s">
        <v>279</v>
      </c>
    </row>
    <row r="107" spans="1:10" x14ac:dyDescent="0.25">
      <c r="A107" s="40" t="s">
        <v>911</v>
      </c>
      <c r="B107" s="41">
        <v>74</v>
      </c>
      <c r="C107" s="42">
        <v>24</v>
      </c>
      <c r="D107" s="61" t="s">
        <v>280</v>
      </c>
      <c r="E107" s="41">
        <v>2009</v>
      </c>
      <c r="F107" s="40" t="s">
        <v>135</v>
      </c>
      <c r="G107" s="44">
        <v>175</v>
      </c>
      <c r="H107" s="44">
        <v>80</v>
      </c>
      <c r="I107" s="44">
        <v>205</v>
      </c>
      <c r="J107" s="44">
        <v>460</v>
      </c>
    </row>
    <row r="108" spans="1:10" x14ac:dyDescent="0.25">
      <c r="A108" s="40" t="s">
        <v>875</v>
      </c>
      <c r="B108" s="41">
        <v>74</v>
      </c>
      <c r="C108" s="42">
        <v>64</v>
      </c>
      <c r="D108" s="61" t="s">
        <v>608</v>
      </c>
      <c r="E108" s="41" t="s">
        <v>14</v>
      </c>
      <c r="F108" s="40" t="s">
        <v>599</v>
      </c>
      <c r="G108" s="44" t="s">
        <v>83</v>
      </c>
      <c r="H108" s="44" t="s">
        <v>30</v>
      </c>
      <c r="I108" s="44" t="s">
        <v>392</v>
      </c>
      <c r="J108" s="44" t="s">
        <v>609</v>
      </c>
    </row>
    <row r="109" spans="1:10" x14ac:dyDescent="0.25">
      <c r="A109" s="40" t="s">
        <v>875</v>
      </c>
      <c r="B109" s="41">
        <v>74</v>
      </c>
      <c r="C109" s="42">
        <v>69</v>
      </c>
      <c r="D109" s="61" t="s">
        <v>266</v>
      </c>
      <c r="E109" s="41" t="s">
        <v>246</v>
      </c>
      <c r="F109" s="40" t="s">
        <v>601</v>
      </c>
      <c r="G109" s="44" t="s">
        <v>140</v>
      </c>
      <c r="H109" s="44" t="s">
        <v>132</v>
      </c>
      <c r="I109" s="44" t="s">
        <v>142</v>
      </c>
      <c r="J109" s="44" t="s">
        <v>267</v>
      </c>
    </row>
    <row r="110" spans="1:10" x14ac:dyDescent="0.25">
      <c r="A110" s="40" t="s">
        <v>875</v>
      </c>
      <c r="B110" s="41">
        <v>83</v>
      </c>
      <c r="C110" s="42">
        <v>14</v>
      </c>
      <c r="D110" s="61" t="s">
        <v>626</v>
      </c>
      <c r="E110" s="41" t="s">
        <v>7</v>
      </c>
      <c r="F110" s="40" t="s">
        <v>627</v>
      </c>
      <c r="G110" s="44" t="s">
        <v>140</v>
      </c>
      <c r="H110" s="44" t="s">
        <v>106</v>
      </c>
      <c r="I110" s="44" t="s">
        <v>142</v>
      </c>
      <c r="J110" s="44" t="s">
        <v>92</v>
      </c>
    </row>
    <row r="111" spans="1:10" x14ac:dyDescent="0.25">
      <c r="A111" s="40" t="s">
        <v>875</v>
      </c>
      <c r="B111" s="41">
        <v>74</v>
      </c>
      <c r="C111" s="42">
        <v>22</v>
      </c>
      <c r="D111" s="61" t="s">
        <v>610</v>
      </c>
      <c r="E111" s="41" t="s">
        <v>14</v>
      </c>
      <c r="F111" s="40" t="s">
        <v>611</v>
      </c>
      <c r="G111" s="44" t="s">
        <v>453</v>
      </c>
      <c r="H111" s="44" t="s">
        <v>247</v>
      </c>
      <c r="I111" s="44" t="s">
        <v>85</v>
      </c>
      <c r="J111" s="44" t="s">
        <v>612</v>
      </c>
    </row>
    <row r="112" spans="1:10" x14ac:dyDescent="0.25">
      <c r="A112" s="40" t="s">
        <v>875</v>
      </c>
      <c r="B112" s="41">
        <v>74</v>
      </c>
      <c r="C112" s="42">
        <v>98</v>
      </c>
      <c r="D112" s="61" t="s">
        <v>613</v>
      </c>
      <c r="E112" s="41" t="s">
        <v>77</v>
      </c>
      <c r="F112" s="40" t="s">
        <v>614</v>
      </c>
      <c r="G112" s="44" t="s">
        <v>98</v>
      </c>
      <c r="H112" s="44" t="s">
        <v>99</v>
      </c>
      <c r="I112" s="44" t="s">
        <v>94</v>
      </c>
      <c r="J112" s="44" t="s">
        <v>260</v>
      </c>
    </row>
    <row r="113" spans="1:10" x14ac:dyDescent="0.25">
      <c r="A113" s="40" t="s">
        <v>875</v>
      </c>
      <c r="B113" s="41">
        <v>74</v>
      </c>
      <c r="C113" s="42">
        <v>72</v>
      </c>
      <c r="D113" s="61" t="s">
        <v>615</v>
      </c>
      <c r="E113" s="41">
        <v>2002</v>
      </c>
      <c r="F113" s="40" t="s">
        <v>879</v>
      </c>
      <c r="G113" s="44">
        <v>205</v>
      </c>
      <c r="H113" s="44">
        <v>1125.5</v>
      </c>
      <c r="I113" s="44">
        <v>230</v>
      </c>
      <c r="J113" s="44">
        <v>547.5</v>
      </c>
    </row>
    <row r="114" spans="1:10" x14ac:dyDescent="0.25">
      <c r="A114" s="40"/>
      <c r="B114" s="41"/>
      <c r="C114" s="42"/>
      <c r="D114" s="38" t="s">
        <v>940</v>
      </c>
      <c r="E114" s="41"/>
      <c r="F114" s="40"/>
      <c r="G114" s="44"/>
      <c r="H114" s="44"/>
      <c r="I114" s="44"/>
      <c r="J114" s="44"/>
    </row>
    <row r="115" spans="1:10" x14ac:dyDescent="0.25">
      <c r="A115" s="40"/>
      <c r="B115" s="41"/>
      <c r="C115" s="42"/>
      <c r="D115" s="38" t="s">
        <v>905</v>
      </c>
      <c r="E115" s="41"/>
      <c r="F115" s="40"/>
      <c r="G115" s="44"/>
      <c r="H115" s="44"/>
      <c r="I115" s="44"/>
      <c r="J115" s="44"/>
    </row>
    <row r="116" spans="1:10" x14ac:dyDescent="0.25">
      <c r="A116" s="40" t="s">
        <v>324</v>
      </c>
      <c r="B116" s="41">
        <v>74</v>
      </c>
      <c r="C116" s="42">
        <v>32</v>
      </c>
      <c r="D116" s="61" t="s">
        <v>346</v>
      </c>
      <c r="E116" s="41" t="s">
        <v>34</v>
      </c>
      <c r="F116" s="40" t="s">
        <v>128</v>
      </c>
      <c r="G116" s="44" t="s">
        <v>347</v>
      </c>
      <c r="H116" s="44" t="s">
        <v>348</v>
      </c>
      <c r="I116" s="44" t="s">
        <v>137</v>
      </c>
      <c r="J116" s="44" t="s">
        <v>349</v>
      </c>
    </row>
    <row r="117" spans="1:10" x14ac:dyDescent="0.25">
      <c r="A117" s="40" t="s">
        <v>324</v>
      </c>
      <c r="B117" s="41">
        <v>74</v>
      </c>
      <c r="C117" s="42">
        <v>17</v>
      </c>
      <c r="D117" s="61" t="s">
        <v>350</v>
      </c>
      <c r="E117" s="41" t="s">
        <v>351</v>
      </c>
      <c r="F117" s="40" t="s">
        <v>128</v>
      </c>
      <c r="G117" s="44" t="s">
        <v>54</v>
      </c>
      <c r="H117" s="44" t="s">
        <v>348</v>
      </c>
      <c r="I117" s="44" t="s">
        <v>175</v>
      </c>
      <c r="J117" s="44" t="s">
        <v>352</v>
      </c>
    </row>
    <row r="118" spans="1:10" x14ac:dyDescent="0.25">
      <c r="A118" s="40" t="s">
        <v>324</v>
      </c>
      <c r="B118" s="41">
        <v>74</v>
      </c>
      <c r="C118" s="42">
        <v>96</v>
      </c>
      <c r="D118" s="61" t="s">
        <v>355</v>
      </c>
      <c r="E118" s="41" t="s">
        <v>34</v>
      </c>
      <c r="F118" s="40" t="s">
        <v>58</v>
      </c>
      <c r="G118" s="44" t="s">
        <v>356</v>
      </c>
      <c r="H118" s="44" t="s">
        <v>357</v>
      </c>
      <c r="I118" s="44" t="s">
        <v>124</v>
      </c>
      <c r="J118" s="44" t="s">
        <v>358</v>
      </c>
    </row>
    <row r="119" spans="1:10" x14ac:dyDescent="0.25">
      <c r="A119" s="40" t="s">
        <v>324</v>
      </c>
      <c r="B119" s="41">
        <v>74</v>
      </c>
      <c r="C119" s="42">
        <v>16</v>
      </c>
      <c r="D119" s="61" t="s">
        <v>359</v>
      </c>
      <c r="E119" s="41">
        <v>2005</v>
      </c>
      <c r="F119" s="40" t="s">
        <v>73</v>
      </c>
      <c r="G119" s="44">
        <v>225</v>
      </c>
      <c r="H119" s="44">
        <v>137.5</v>
      </c>
      <c r="I119" s="44">
        <v>275</v>
      </c>
      <c r="J119" s="44">
        <v>637.5</v>
      </c>
    </row>
    <row r="120" spans="1:10" x14ac:dyDescent="0.25">
      <c r="A120" s="40" t="s">
        <v>324</v>
      </c>
      <c r="B120" s="41">
        <v>74</v>
      </c>
      <c r="C120" s="42">
        <v>52</v>
      </c>
      <c r="D120" s="61" t="s">
        <v>361</v>
      </c>
      <c r="E120" s="41" t="s">
        <v>77</v>
      </c>
      <c r="F120" s="40" t="s">
        <v>109</v>
      </c>
      <c r="G120" s="44" t="s">
        <v>307</v>
      </c>
      <c r="H120" s="44" t="s">
        <v>11</v>
      </c>
      <c r="I120" s="44" t="s">
        <v>85</v>
      </c>
      <c r="J120" s="44" t="s">
        <v>86</v>
      </c>
    </row>
    <row r="121" spans="1:10" x14ac:dyDescent="0.25">
      <c r="A121" s="40" t="s">
        <v>324</v>
      </c>
      <c r="B121" s="41">
        <v>74</v>
      </c>
      <c r="C121" s="42">
        <v>71</v>
      </c>
      <c r="D121" s="61" t="s">
        <v>362</v>
      </c>
      <c r="E121" s="41">
        <v>2004</v>
      </c>
      <c r="F121" s="40" t="s">
        <v>73</v>
      </c>
      <c r="G121" s="44">
        <v>230</v>
      </c>
      <c r="H121" s="44">
        <v>127.5</v>
      </c>
      <c r="I121" s="44">
        <v>245</v>
      </c>
      <c r="J121" s="44">
        <v>602.5</v>
      </c>
    </row>
    <row r="122" spans="1:10" x14ac:dyDescent="0.25">
      <c r="A122" s="40" t="s">
        <v>324</v>
      </c>
      <c r="B122" s="41">
        <v>74</v>
      </c>
      <c r="C122" s="42">
        <v>41</v>
      </c>
      <c r="D122" s="61" t="s">
        <v>363</v>
      </c>
      <c r="E122" s="41" t="s">
        <v>351</v>
      </c>
      <c r="F122" s="40" t="s">
        <v>89</v>
      </c>
      <c r="G122" s="44" t="s">
        <v>307</v>
      </c>
      <c r="H122" s="44" t="s">
        <v>268</v>
      </c>
      <c r="I122" s="44" t="s">
        <v>124</v>
      </c>
      <c r="J122" s="44" t="s">
        <v>312</v>
      </c>
    </row>
    <row r="123" spans="1:10" x14ac:dyDescent="0.25">
      <c r="A123" s="40" t="s">
        <v>324</v>
      </c>
      <c r="B123" s="41">
        <v>74</v>
      </c>
      <c r="C123" s="42">
        <v>85</v>
      </c>
      <c r="D123" s="61" t="s">
        <v>364</v>
      </c>
      <c r="E123" s="41">
        <v>2003</v>
      </c>
      <c r="F123" s="40" t="s">
        <v>135</v>
      </c>
      <c r="G123" s="44">
        <v>170</v>
      </c>
      <c r="H123" s="44">
        <v>110</v>
      </c>
      <c r="I123" s="44">
        <v>190</v>
      </c>
      <c r="J123" s="44">
        <v>470</v>
      </c>
    </row>
    <row r="124" spans="1:10" x14ac:dyDescent="0.25">
      <c r="A124" s="40" t="s">
        <v>324</v>
      </c>
      <c r="B124" s="41">
        <v>74</v>
      </c>
      <c r="C124" s="42">
        <v>91</v>
      </c>
      <c r="D124" s="61" t="s">
        <v>538</v>
      </c>
      <c r="E124" s="41">
        <v>2006</v>
      </c>
      <c r="F124" s="40" t="s">
        <v>89</v>
      </c>
      <c r="G124" s="69"/>
      <c r="H124" s="44">
        <v>125</v>
      </c>
      <c r="I124" s="69"/>
      <c r="J124" s="69"/>
    </row>
    <row r="125" spans="1:10" x14ac:dyDescent="0.25">
      <c r="A125" s="40" t="s">
        <v>324</v>
      </c>
      <c r="B125" s="41">
        <v>74</v>
      </c>
      <c r="C125" s="42">
        <v>36</v>
      </c>
      <c r="D125" s="61" t="s">
        <v>539</v>
      </c>
      <c r="E125" s="41" t="s">
        <v>7</v>
      </c>
      <c r="F125" s="40" t="s">
        <v>89</v>
      </c>
      <c r="G125" s="69"/>
      <c r="H125" s="41" t="s">
        <v>60</v>
      </c>
      <c r="I125" s="69"/>
      <c r="J125" s="69"/>
    </row>
    <row r="126" spans="1:10" x14ac:dyDescent="0.25">
      <c r="A126" s="75" t="s">
        <v>958</v>
      </c>
      <c r="B126" s="75"/>
      <c r="C126" s="75"/>
      <c r="D126" s="75"/>
      <c r="E126" s="75"/>
      <c r="F126" s="75"/>
      <c r="G126" s="75"/>
      <c r="H126" s="75"/>
      <c r="I126" s="75"/>
      <c r="J126" s="75"/>
    </row>
    <row r="127" spans="1:10" x14ac:dyDescent="0.25">
      <c r="A127" s="78" t="s">
        <v>951</v>
      </c>
      <c r="B127" s="78"/>
      <c r="C127" s="78"/>
      <c r="D127" s="78"/>
      <c r="E127" s="78"/>
      <c r="F127" s="78"/>
      <c r="G127" s="78"/>
      <c r="H127" s="78"/>
      <c r="I127" s="78"/>
      <c r="J127" s="78"/>
    </row>
    <row r="128" spans="1:10" x14ac:dyDescent="0.25">
      <c r="A128" s="78" t="s">
        <v>935</v>
      </c>
      <c r="B128" s="78"/>
      <c r="C128" s="78"/>
      <c r="D128" s="78"/>
      <c r="E128" s="78"/>
      <c r="F128" s="78"/>
      <c r="G128" s="78"/>
      <c r="H128" s="78"/>
      <c r="I128" s="78"/>
      <c r="J128" s="78"/>
    </row>
    <row r="129" spans="1:10" s="22" customFormat="1" x14ac:dyDescent="0.25">
      <c r="A129" s="77" t="s">
        <v>936</v>
      </c>
      <c r="B129" s="77"/>
      <c r="C129" s="77"/>
      <c r="D129" s="77"/>
      <c r="E129" s="77"/>
      <c r="F129" s="77"/>
      <c r="G129" s="77"/>
      <c r="H129" s="77"/>
      <c r="I129" s="77"/>
      <c r="J129" s="77"/>
    </row>
    <row r="130" spans="1:10" x14ac:dyDescent="0.25">
      <c r="A130" s="30" t="s">
        <v>0</v>
      </c>
      <c r="B130" s="30" t="s">
        <v>1</v>
      </c>
      <c r="C130" s="30" t="s">
        <v>931</v>
      </c>
      <c r="D130" s="37" t="s">
        <v>889</v>
      </c>
      <c r="E130" s="30" t="s">
        <v>890</v>
      </c>
      <c r="F130" s="30" t="s">
        <v>891</v>
      </c>
      <c r="G130" s="32" t="s">
        <v>874</v>
      </c>
      <c r="H130" s="32" t="s">
        <v>887</v>
      </c>
      <c r="I130" s="32" t="s">
        <v>888</v>
      </c>
      <c r="J130" s="32" t="s">
        <v>3</v>
      </c>
    </row>
    <row r="131" spans="1:10" s="22" customFormat="1" x14ac:dyDescent="0.25">
      <c r="A131" s="28"/>
      <c r="B131" s="28"/>
      <c r="C131" s="28"/>
      <c r="D131" s="38" t="s">
        <v>939</v>
      </c>
      <c r="E131" s="28"/>
      <c r="F131" s="28"/>
      <c r="G131" s="29"/>
      <c r="H131" s="29"/>
      <c r="I131" s="29"/>
      <c r="J131" s="29"/>
    </row>
    <row r="132" spans="1:10" x14ac:dyDescent="0.25">
      <c r="A132" s="40"/>
      <c r="B132" s="41"/>
      <c r="C132" s="42"/>
      <c r="D132" s="33" t="s">
        <v>906</v>
      </c>
      <c r="E132" s="41"/>
      <c r="F132" s="40"/>
      <c r="G132" s="44"/>
      <c r="H132" s="44"/>
      <c r="I132" s="44"/>
      <c r="J132" s="44"/>
    </row>
    <row r="133" spans="1:10" x14ac:dyDescent="0.25">
      <c r="A133" s="40" t="s">
        <v>911</v>
      </c>
      <c r="B133" s="41">
        <v>83</v>
      </c>
      <c r="C133" s="42">
        <v>49</v>
      </c>
      <c r="D133" s="61" t="s">
        <v>281</v>
      </c>
      <c r="E133" s="41" t="s">
        <v>246</v>
      </c>
      <c r="F133" s="40" t="s">
        <v>89</v>
      </c>
      <c r="G133" s="44" t="s">
        <v>116</v>
      </c>
      <c r="H133" s="44" t="s">
        <v>268</v>
      </c>
      <c r="I133" s="44" t="s">
        <v>85</v>
      </c>
      <c r="J133" s="44" t="s">
        <v>282</v>
      </c>
    </row>
    <row r="134" spans="1:10" x14ac:dyDescent="0.25">
      <c r="A134" s="40" t="s">
        <v>911</v>
      </c>
      <c r="B134" s="41">
        <v>83</v>
      </c>
      <c r="C134" s="42">
        <v>66</v>
      </c>
      <c r="D134" s="61" t="s">
        <v>283</v>
      </c>
      <c r="E134" s="41" t="s">
        <v>265</v>
      </c>
      <c r="F134" s="40" t="s">
        <v>109</v>
      </c>
      <c r="G134" s="44" t="s">
        <v>54</v>
      </c>
      <c r="H134" s="44" t="s">
        <v>284</v>
      </c>
      <c r="I134" s="44" t="s">
        <v>124</v>
      </c>
      <c r="J134" s="44" t="s">
        <v>285</v>
      </c>
    </row>
    <row r="135" spans="1:10" x14ac:dyDescent="0.25">
      <c r="A135" s="40" t="s">
        <v>911</v>
      </c>
      <c r="B135" s="41">
        <v>83</v>
      </c>
      <c r="C135" s="42">
        <v>29</v>
      </c>
      <c r="D135" s="61" t="s">
        <v>286</v>
      </c>
      <c r="E135" s="41">
        <v>2008</v>
      </c>
      <c r="F135" s="40" t="s">
        <v>73</v>
      </c>
      <c r="G135" s="44">
        <v>255</v>
      </c>
      <c r="H135" s="44">
        <v>132.5</v>
      </c>
      <c r="I135" s="44">
        <v>245</v>
      </c>
      <c r="J135" s="44">
        <v>632.5</v>
      </c>
    </row>
    <row r="136" spans="1:10" x14ac:dyDescent="0.25">
      <c r="A136" s="40" t="s">
        <v>911</v>
      </c>
      <c r="B136" s="41">
        <v>83</v>
      </c>
      <c r="C136" s="42">
        <v>46</v>
      </c>
      <c r="D136" s="61" t="s">
        <v>287</v>
      </c>
      <c r="E136" s="41" t="s">
        <v>246</v>
      </c>
      <c r="F136" s="40" t="s">
        <v>73</v>
      </c>
      <c r="G136" s="44" t="s">
        <v>166</v>
      </c>
      <c r="H136" s="44" t="s">
        <v>288</v>
      </c>
      <c r="I136" s="44" t="s">
        <v>61</v>
      </c>
      <c r="J136" s="44" t="s">
        <v>289</v>
      </c>
    </row>
    <row r="137" spans="1:10" x14ac:dyDescent="0.25">
      <c r="A137" s="40" t="s">
        <v>911</v>
      </c>
      <c r="B137" s="41">
        <v>83</v>
      </c>
      <c r="C137" s="42">
        <v>92</v>
      </c>
      <c r="D137" s="61" t="s">
        <v>290</v>
      </c>
      <c r="E137" s="41" t="s">
        <v>246</v>
      </c>
      <c r="F137" s="40" t="s">
        <v>128</v>
      </c>
      <c r="G137" s="44" t="s">
        <v>78</v>
      </c>
      <c r="H137" s="44" t="s">
        <v>274</v>
      </c>
      <c r="I137" s="44" t="s">
        <v>85</v>
      </c>
      <c r="J137" s="44" t="s">
        <v>92</v>
      </c>
    </row>
    <row r="138" spans="1:10" x14ac:dyDescent="0.25">
      <c r="A138" s="40" t="s">
        <v>911</v>
      </c>
      <c r="B138" s="41">
        <v>83</v>
      </c>
      <c r="C138" s="42">
        <v>84</v>
      </c>
      <c r="D138" s="61" t="s">
        <v>291</v>
      </c>
      <c r="E138" s="41" t="s">
        <v>246</v>
      </c>
      <c r="F138" s="40" t="s">
        <v>58</v>
      </c>
      <c r="G138" s="44" t="s">
        <v>292</v>
      </c>
      <c r="H138" s="44" t="s">
        <v>60</v>
      </c>
      <c r="I138" s="44" t="s">
        <v>116</v>
      </c>
      <c r="J138" s="44" t="s">
        <v>101</v>
      </c>
    </row>
    <row r="139" spans="1:10" x14ac:dyDescent="0.25">
      <c r="A139" s="40" t="s">
        <v>911</v>
      </c>
      <c r="B139" s="41">
        <v>83</v>
      </c>
      <c r="C139" s="42">
        <v>67</v>
      </c>
      <c r="D139" s="61" t="s">
        <v>294</v>
      </c>
      <c r="E139" s="41" t="s">
        <v>246</v>
      </c>
      <c r="F139" s="40" t="s">
        <v>82</v>
      </c>
      <c r="G139" s="44" t="s">
        <v>67</v>
      </c>
      <c r="H139" s="44" t="s">
        <v>295</v>
      </c>
      <c r="I139" s="44" t="s">
        <v>94</v>
      </c>
      <c r="J139" s="44" t="s">
        <v>296</v>
      </c>
    </row>
    <row r="140" spans="1:10" x14ac:dyDescent="0.25">
      <c r="A140" s="40" t="s">
        <v>911</v>
      </c>
      <c r="B140" s="41">
        <v>83</v>
      </c>
      <c r="C140" s="42">
        <v>35</v>
      </c>
      <c r="D140" s="61" t="s">
        <v>537</v>
      </c>
      <c r="E140" s="41" t="s">
        <v>246</v>
      </c>
      <c r="F140" s="40" t="s">
        <v>128</v>
      </c>
      <c r="G140" s="69"/>
      <c r="H140" s="41" t="s">
        <v>11</v>
      </c>
      <c r="I140" s="69"/>
      <c r="J140" s="69"/>
    </row>
    <row r="141" spans="1:10" x14ac:dyDescent="0.25">
      <c r="A141" s="40" t="s">
        <v>875</v>
      </c>
      <c r="B141" s="41">
        <v>83</v>
      </c>
      <c r="C141" s="42">
        <v>19</v>
      </c>
      <c r="D141" s="61" t="s">
        <v>618</v>
      </c>
      <c r="E141" s="41" t="s">
        <v>28</v>
      </c>
      <c r="F141" s="40" t="s">
        <v>619</v>
      </c>
      <c r="G141" s="44" t="s">
        <v>85</v>
      </c>
      <c r="H141" s="44" t="s">
        <v>25</v>
      </c>
      <c r="I141" s="44" t="s">
        <v>173</v>
      </c>
      <c r="J141" s="44" t="s">
        <v>620</v>
      </c>
    </row>
    <row r="142" spans="1:10" x14ac:dyDescent="0.25">
      <c r="A142" s="40" t="s">
        <v>875</v>
      </c>
      <c r="B142" s="41">
        <v>83</v>
      </c>
      <c r="C142" s="42">
        <v>28</v>
      </c>
      <c r="D142" s="61" t="s">
        <v>621</v>
      </c>
      <c r="E142" s="41" t="s">
        <v>351</v>
      </c>
      <c r="F142" s="40" t="s">
        <v>622</v>
      </c>
      <c r="G142" s="44" t="s">
        <v>166</v>
      </c>
      <c r="H142" s="44" t="s">
        <v>84</v>
      </c>
      <c r="I142" s="44" t="s">
        <v>173</v>
      </c>
      <c r="J142" s="44" t="s">
        <v>118</v>
      </c>
    </row>
    <row r="143" spans="1:10" x14ac:dyDescent="0.25">
      <c r="A143" s="40" t="s">
        <v>875</v>
      </c>
      <c r="B143" s="41">
        <v>83</v>
      </c>
      <c r="C143" s="42">
        <v>15</v>
      </c>
      <c r="D143" s="61" t="s">
        <v>370</v>
      </c>
      <c r="E143" s="41" t="s">
        <v>351</v>
      </c>
      <c r="F143" s="40" t="s">
        <v>623</v>
      </c>
      <c r="G143" s="44" t="s">
        <v>61</v>
      </c>
      <c r="H143" s="44" t="s">
        <v>74</v>
      </c>
      <c r="I143" s="44" t="s">
        <v>371</v>
      </c>
      <c r="J143" s="44" t="s">
        <v>369</v>
      </c>
    </row>
    <row r="144" spans="1:10" x14ac:dyDescent="0.25">
      <c r="A144" s="40" t="s">
        <v>875</v>
      </c>
      <c r="B144" s="41">
        <v>83</v>
      </c>
      <c r="C144" s="42">
        <v>70</v>
      </c>
      <c r="D144" s="61" t="s">
        <v>372</v>
      </c>
      <c r="E144" s="41" t="s">
        <v>351</v>
      </c>
      <c r="F144" s="40" t="s">
        <v>624</v>
      </c>
      <c r="G144" s="44" t="s">
        <v>116</v>
      </c>
      <c r="H144" s="44" t="s">
        <v>16</v>
      </c>
      <c r="I144" s="44" t="s">
        <v>91</v>
      </c>
      <c r="J144" s="44" t="s">
        <v>244</v>
      </c>
    </row>
    <row r="145" spans="1:10" x14ac:dyDescent="0.25">
      <c r="A145" s="40" t="s">
        <v>875</v>
      </c>
      <c r="B145" s="41">
        <v>83</v>
      </c>
      <c r="C145" s="42">
        <v>53</v>
      </c>
      <c r="D145" s="61" t="s">
        <v>625</v>
      </c>
      <c r="E145" s="41">
        <v>2003</v>
      </c>
      <c r="F145" s="40" t="s">
        <v>878</v>
      </c>
      <c r="G145" s="44">
        <v>215</v>
      </c>
      <c r="H145" s="44">
        <v>145</v>
      </c>
      <c r="I145" s="44">
        <v>250</v>
      </c>
      <c r="J145" s="44">
        <v>610</v>
      </c>
    </row>
    <row r="146" spans="1:10" x14ac:dyDescent="0.25">
      <c r="A146" s="40" t="s">
        <v>875</v>
      </c>
      <c r="B146" s="41">
        <v>83</v>
      </c>
      <c r="C146" s="42">
        <v>75</v>
      </c>
      <c r="D146" s="61" t="s">
        <v>628</v>
      </c>
      <c r="E146" s="41" t="s">
        <v>351</v>
      </c>
      <c r="F146" s="40" t="s">
        <v>629</v>
      </c>
      <c r="G146" s="44" t="s">
        <v>333</v>
      </c>
      <c r="H146" s="44" t="s">
        <v>132</v>
      </c>
      <c r="I146" s="44" t="s">
        <v>146</v>
      </c>
      <c r="J146" s="44" t="s">
        <v>194</v>
      </c>
    </row>
    <row r="147" spans="1:10" x14ac:dyDescent="0.25">
      <c r="A147" s="40"/>
      <c r="B147" s="41"/>
      <c r="C147" s="42"/>
      <c r="D147" s="38" t="s">
        <v>940</v>
      </c>
      <c r="E147" s="41"/>
      <c r="F147" s="40"/>
      <c r="G147" s="44"/>
      <c r="H147" s="44"/>
      <c r="I147" s="44"/>
      <c r="J147" s="44"/>
    </row>
    <row r="148" spans="1:10" x14ac:dyDescent="0.25">
      <c r="A148" s="40"/>
      <c r="B148" s="41"/>
      <c r="C148" s="42"/>
      <c r="D148" s="38" t="s">
        <v>906</v>
      </c>
      <c r="E148" s="41"/>
      <c r="F148" s="40"/>
      <c r="G148" s="44"/>
      <c r="H148" s="44"/>
      <c r="I148" s="44"/>
      <c r="J148" s="44"/>
    </row>
    <row r="149" spans="1:10" x14ac:dyDescent="0.25">
      <c r="A149" s="40" t="s">
        <v>324</v>
      </c>
      <c r="B149" s="41">
        <v>83</v>
      </c>
      <c r="C149" s="42">
        <v>63</v>
      </c>
      <c r="D149" s="61" t="s">
        <v>365</v>
      </c>
      <c r="E149" s="41" t="s">
        <v>34</v>
      </c>
      <c r="F149" s="40" t="s">
        <v>73</v>
      </c>
      <c r="G149" s="44" t="s">
        <v>257</v>
      </c>
      <c r="H149" s="44" t="s">
        <v>366</v>
      </c>
      <c r="I149" s="44" t="s">
        <v>12</v>
      </c>
      <c r="J149" s="44" t="s">
        <v>367</v>
      </c>
    </row>
    <row r="150" spans="1:10" x14ac:dyDescent="0.25">
      <c r="A150" s="40" t="s">
        <v>324</v>
      </c>
      <c r="B150" s="41">
        <v>83</v>
      </c>
      <c r="C150" s="42">
        <v>44</v>
      </c>
      <c r="D150" s="61" t="s">
        <v>368</v>
      </c>
      <c r="E150" s="41" t="s">
        <v>34</v>
      </c>
      <c r="F150" s="40" t="s">
        <v>58</v>
      </c>
      <c r="G150" s="44" t="s">
        <v>166</v>
      </c>
      <c r="H150" s="44" t="s">
        <v>42</v>
      </c>
      <c r="I150" s="44" t="s">
        <v>137</v>
      </c>
      <c r="J150" s="44" t="s">
        <v>369</v>
      </c>
    </row>
    <row r="151" spans="1:10" x14ac:dyDescent="0.25">
      <c r="A151" s="40" t="s">
        <v>324</v>
      </c>
      <c r="B151" s="41">
        <v>83</v>
      </c>
      <c r="C151" s="42">
        <v>87</v>
      </c>
      <c r="D151" s="61" t="s">
        <v>370</v>
      </c>
      <c r="E151" s="41" t="s">
        <v>351</v>
      </c>
      <c r="F151" s="40" t="s">
        <v>53</v>
      </c>
      <c r="G151" s="44" t="s">
        <v>61</v>
      </c>
      <c r="H151" s="44" t="s">
        <v>74</v>
      </c>
      <c r="I151" s="44" t="s">
        <v>371</v>
      </c>
      <c r="J151" s="44" t="s">
        <v>369</v>
      </c>
    </row>
    <row r="152" spans="1:10" x14ac:dyDescent="0.25">
      <c r="A152" s="40" t="s">
        <v>324</v>
      </c>
      <c r="B152" s="41">
        <v>83</v>
      </c>
      <c r="C152" s="42">
        <v>4</v>
      </c>
      <c r="D152" s="61" t="s">
        <v>372</v>
      </c>
      <c r="E152" s="41" t="s">
        <v>351</v>
      </c>
      <c r="F152" s="40" t="s">
        <v>53</v>
      </c>
      <c r="G152" s="44" t="s">
        <v>116</v>
      </c>
      <c r="H152" s="44" t="s">
        <v>16</v>
      </c>
      <c r="I152" s="44" t="s">
        <v>91</v>
      </c>
      <c r="J152" s="44" t="s">
        <v>244</v>
      </c>
    </row>
    <row r="153" spans="1:10" x14ac:dyDescent="0.25">
      <c r="A153" s="40" t="s">
        <v>324</v>
      </c>
      <c r="B153" s="41">
        <v>83</v>
      </c>
      <c r="C153" s="42">
        <v>45</v>
      </c>
      <c r="D153" s="61" t="s">
        <v>373</v>
      </c>
      <c r="E153" s="41" t="s">
        <v>45</v>
      </c>
      <c r="F153" s="40" t="s">
        <v>89</v>
      </c>
      <c r="G153" s="44" t="s">
        <v>116</v>
      </c>
      <c r="H153" s="44" t="s">
        <v>297</v>
      </c>
      <c r="I153" s="44" t="s">
        <v>91</v>
      </c>
      <c r="J153" s="44" t="s">
        <v>354</v>
      </c>
    </row>
    <row r="154" spans="1:10" x14ac:dyDescent="0.25">
      <c r="A154" s="40" t="s">
        <v>324</v>
      </c>
      <c r="B154" s="41">
        <v>74</v>
      </c>
      <c r="C154" s="42">
        <v>73</v>
      </c>
      <c r="D154" s="61" t="s">
        <v>353</v>
      </c>
      <c r="E154" s="41" t="s">
        <v>45</v>
      </c>
      <c r="F154" s="40" t="s">
        <v>128</v>
      </c>
      <c r="G154" s="44" t="s">
        <v>147</v>
      </c>
      <c r="H154" s="44" t="s">
        <v>117</v>
      </c>
      <c r="I154" s="44" t="s">
        <v>116</v>
      </c>
      <c r="J154" s="44" t="s">
        <v>354</v>
      </c>
    </row>
    <row r="155" spans="1:10" x14ac:dyDescent="0.25">
      <c r="A155" s="40" t="s">
        <v>324</v>
      </c>
      <c r="B155" s="41">
        <v>83</v>
      </c>
      <c r="C155" s="42">
        <v>11</v>
      </c>
      <c r="D155" s="61" t="s">
        <v>375</v>
      </c>
      <c r="E155" s="41" t="s">
        <v>351</v>
      </c>
      <c r="F155" s="40" t="s">
        <v>58</v>
      </c>
      <c r="G155" s="44" t="s">
        <v>83</v>
      </c>
      <c r="H155" s="44" t="s">
        <v>84</v>
      </c>
      <c r="I155" s="44" t="s">
        <v>137</v>
      </c>
      <c r="J155" s="44" t="s">
        <v>360</v>
      </c>
    </row>
    <row r="156" spans="1:10" x14ac:dyDescent="0.25">
      <c r="A156" s="40" t="s">
        <v>324</v>
      </c>
      <c r="B156" s="41">
        <v>83</v>
      </c>
      <c r="C156" s="42">
        <v>26</v>
      </c>
      <c r="D156" s="61" t="s">
        <v>376</v>
      </c>
      <c r="E156" s="41" t="s">
        <v>77</v>
      </c>
      <c r="F156" s="40" t="s">
        <v>128</v>
      </c>
      <c r="G156" s="44" t="s">
        <v>56</v>
      </c>
      <c r="H156" s="44" t="s">
        <v>42</v>
      </c>
      <c r="I156" s="44" t="s">
        <v>116</v>
      </c>
      <c r="J156" s="44" t="s">
        <v>360</v>
      </c>
    </row>
    <row r="157" spans="1:10" x14ac:dyDescent="0.25">
      <c r="A157" s="40" t="s">
        <v>324</v>
      </c>
      <c r="B157" s="41">
        <v>83</v>
      </c>
      <c r="C157" s="42">
        <v>58</v>
      </c>
      <c r="D157" s="61" t="s">
        <v>378</v>
      </c>
      <c r="E157" s="41" t="s">
        <v>34</v>
      </c>
      <c r="F157" s="40" t="s">
        <v>104</v>
      </c>
      <c r="G157" s="44" t="s">
        <v>83</v>
      </c>
      <c r="H157" s="44" t="s">
        <v>106</v>
      </c>
      <c r="I157" s="44" t="s">
        <v>379</v>
      </c>
      <c r="J157" s="44" t="s">
        <v>380</v>
      </c>
    </row>
    <row r="158" spans="1:10" x14ac:dyDescent="0.25">
      <c r="A158" s="40" t="s">
        <v>324</v>
      </c>
      <c r="B158" s="41">
        <v>83</v>
      </c>
      <c r="C158" s="42">
        <v>74</v>
      </c>
      <c r="D158" s="61" t="s">
        <v>381</v>
      </c>
      <c r="E158" s="41" t="s">
        <v>7</v>
      </c>
      <c r="F158" s="40" t="s">
        <v>141</v>
      </c>
      <c r="G158" s="44" t="s">
        <v>255</v>
      </c>
      <c r="H158" s="44" t="s">
        <v>256</v>
      </c>
      <c r="I158" s="44" t="s">
        <v>94</v>
      </c>
      <c r="J158" s="44" t="s">
        <v>329</v>
      </c>
    </row>
    <row r="159" spans="1:10" x14ac:dyDescent="0.25">
      <c r="A159" s="40" t="s">
        <v>324</v>
      </c>
      <c r="B159" s="41">
        <v>83</v>
      </c>
      <c r="C159" s="42">
        <v>43</v>
      </c>
      <c r="D159" s="61" t="s">
        <v>365</v>
      </c>
      <c r="E159" s="41" t="s">
        <v>34</v>
      </c>
      <c r="F159" s="40" t="s">
        <v>73</v>
      </c>
      <c r="G159" s="69"/>
      <c r="H159" s="41" t="s">
        <v>366</v>
      </c>
      <c r="I159" s="69"/>
      <c r="J159" s="69"/>
    </row>
    <row r="160" spans="1:10" x14ac:dyDescent="0.25">
      <c r="A160" s="40" t="s">
        <v>324</v>
      </c>
      <c r="B160" s="41">
        <v>83</v>
      </c>
      <c r="C160" s="42">
        <v>83</v>
      </c>
      <c r="D160" s="61" t="s">
        <v>540</v>
      </c>
      <c r="E160" s="41" t="s">
        <v>34</v>
      </c>
      <c r="F160" s="40" t="s">
        <v>53</v>
      </c>
      <c r="G160" s="69"/>
      <c r="H160" s="41" t="s">
        <v>357</v>
      </c>
      <c r="I160" s="69"/>
      <c r="J160" s="69"/>
    </row>
    <row r="161" spans="1:10" x14ac:dyDescent="0.25">
      <c r="A161" s="40" t="s">
        <v>324</v>
      </c>
      <c r="B161" s="41">
        <v>83</v>
      </c>
      <c r="C161" s="42">
        <v>26</v>
      </c>
      <c r="D161" s="61" t="s">
        <v>376</v>
      </c>
      <c r="E161" s="41" t="s">
        <v>77</v>
      </c>
      <c r="F161" s="40" t="s">
        <v>128</v>
      </c>
      <c r="G161" s="69"/>
      <c r="H161" s="41" t="s">
        <v>42</v>
      </c>
      <c r="I161" s="69"/>
      <c r="J161" s="69"/>
    </row>
    <row r="162" spans="1:10" x14ac:dyDescent="0.25">
      <c r="A162" s="40" t="s">
        <v>324</v>
      </c>
      <c r="B162" s="41">
        <v>83</v>
      </c>
      <c r="C162" s="42">
        <v>18</v>
      </c>
      <c r="D162" s="61" t="s">
        <v>541</v>
      </c>
      <c r="E162" s="41" t="s">
        <v>34</v>
      </c>
      <c r="F162" s="40" t="s">
        <v>89</v>
      </c>
      <c r="G162" s="69"/>
      <c r="H162" s="41" t="s">
        <v>84</v>
      </c>
      <c r="I162" s="69"/>
      <c r="J162" s="69"/>
    </row>
    <row r="163" spans="1:10" x14ac:dyDescent="0.25">
      <c r="A163" s="40" t="s">
        <v>324</v>
      </c>
      <c r="B163" s="41">
        <v>83</v>
      </c>
      <c r="C163" s="42">
        <v>86</v>
      </c>
      <c r="D163" s="61" t="s">
        <v>377</v>
      </c>
      <c r="E163" s="41" t="s">
        <v>34</v>
      </c>
      <c r="F163" s="40" t="s">
        <v>135</v>
      </c>
      <c r="G163" s="69"/>
      <c r="H163" s="41" t="s">
        <v>55</v>
      </c>
      <c r="I163" s="69"/>
      <c r="J163" s="69"/>
    </row>
    <row r="164" spans="1:10" x14ac:dyDescent="0.25">
      <c r="A164" s="75" t="s">
        <v>958</v>
      </c>
      <c r="B164" s="75"/>
      <c r="C164" s="75"/>
      <c r="D164" s="75"/>
      <c r="E164" s="75"/>
      <c r="F164" s="75"/>
      <c r="G164" s="75"/>
      <c r="H164" s="75"/>
      <c r="I164" s="75"/>
      <c r="J164" s="75"/>
    </row>
    <row r="165" spans="1:10" x14ac:dyDescent="0.25">
      <c r="A165" s="78" t="s">
        <v>952</v>
      </c>
      <c r="B165" s="78"/>
      <c r="C165" s="78"/>
      <c r="D165" s="78"/>
      <c r="E165" s="78"/>
      <c r="F165" s="78"/>
      <c r="G165" s="78"/>
      <c r="H165" s="78"/>
      <c r="I165" s="78"/>
      <c r="J165" s="78"/>
    </row>
    <row r="166" spans="1:10" x14ac:dyDescent="0.25">
      <c r="A166" s="78" t="s">
        <v>935</v>
      </c>
      <c r="B166" s="78"/>
      <c r="C166" s="78"/>
      <c r="D166" s="78"/>
      <c r="E166" s="78"/>
      <c r="F166" s="78"/>
      <c r="G166" s="78"/>
      <c r="H166" s="78"/>
      <c r="I166" s="78"/>
      <c r="J166" s="78"/>
    </row>
    <row r="167" spans="1:10" s="22" customFormat="1" x14ac:dyDescent="0.25">
      <c r="A167" s="77" t="s">
        <v>936</v>
      </c>
      <c r="B167" s="77"/>
      <c r="C167" s="77"/>
      <c r="D167" s="77"/>
      <c r="E167" s="77"/>
      <c r="F167" s="77"/>
      <c r="G167" s="77"/>
      <c r="H167" s="77"/>
      <c r="I167" s="77"/>
      <c r="J167" s="77"/>
    </row>
    <row r="168" spans="1:10" x14ac:dyDescent="0.25">
      <c r="A168" s="30" t="s">
        <v>0</v>
      </c>
      <c r="B168" s="30" t="s">
        <v>1</v>
      </c>
      <c r="C168" s="30" t="s">
        <v>931</v>
      </c>
      <c r="D168" s="37" t="s">
        <v>889</v>
      </c>
      <c r="E168" s="30" t="s">
        <v>890</v>
      </c>
      <c r="F168" s="30" t="s">
        <v>891</v>
      </c>
      <c r="G168" s="32" t="s">
        <v>874</v>
      </c>
      <c r="H168" s="32" t="s">
        <v>887</v>
      </c>
      <c r="I168" s="32" t="s">
        <v>888</v>
      </c>
      <c r="J168" s="32" t="s">
        <v>3</v>
      </c>
    </row>
    <row r="169" spans="1:10" s="22" customFormat="1" x14ac:dyDescent="0.25">
      <c r="A169" s="28"/>
      <c r="B169" s="28"/>
      <c r="C169" s="28"/>
      <c r="D169" s="38" t="s">
        <v>939</v>
      </c>
      <c r="E169" s="28"/>
      <c r="F169" s="28"/>
      <c r="G169" s="29"/>
      <c r="H169" s="29"/>
      <c r="I169" s="29"/>
      <c r="J169" s="29"/>
    </row>
    <row r="170" spans="1:10" x14ac:dyDescent="0.25">
      <c r="A170" s="40"/>
      <c r="B170" s="41"/>
      <c r="C170" s="42"/>
      <c r="D170" s="33" t="s">
        <v>906</v>
      </c>
      <c r="E170" s="41"/>
      <c r="F170" s="40"/>
      <c r="G170" s="69"/>
      <c r="H170" s="41"/>
      <c r="I170" s="69"/>
      <c r="J170" s="69"/>
    </row>
    <row r="171" spans="1:10" x14ac:dyDescent="0.25">
      <c r="A171" s="40" t="s">
        <v>884</v>
      </c>
      <c r="B171" s="41">
        <v>83</v>
      </c>
      <c r="C171" s="42">
        <v>8</v>
      </c>
      <c r="D171" s="61" t="s">
        <v>480</v>
      </c>
      <c r="E171" s="41" t="s">
        <v>478</v>
      </c>
      <c r="F171" s="40" t="s">
        <v>89</v>
      </c>
      <c r="G171" s="44" t="s">
        <v>67</v>
      </c>
      <c r="H171" s="44" t="s">
        <v>268</v>
      </c>
      <c r="I171" s="44" t="s">
        <v>146</v>
      </c>
      <c r="J171" s="44" t="s">
        <v>481</v>
      </c>
    </row>
    <row r="172" spans="1:10" x14ac:dyDescent="0.25">
      <c r="A172" s="40" t="s">
        <v>884</v>
      </c>
      <c r="B172" s="41">
        <v>83</v>
      </c>
      <c r="C172" s="42">
        <v>7</v>
      </c>
      <c r="D172" s="61" t="s">
        <v>482</v>
      </c>
      <c r="E172" s="41" t="s">
        <v>483</v>
      </c>
      <c r="F172" s="40" t="s">
        <v>89</v>
      </c>
      <c r="G172" s="44" t="s">
        <v>65</v>
      </c>
      <c r="H172" s="44" t="s">
        <v>274</v>
      </c>
      <c r="I172" s="44" t="s">
        <v>83</v>
      </c>
      <c r="J172" s="44" t="s">
        <v>445</v>
      </c>
    </row>
    <row r="173" spans="1:10" x14ac:dyDescent="0.25">
      <c r="A173" s="40" t="s">
        <v>884</v>
      </c>
      <c r="B173" s="41">
        <v>83</v>
      </c>
      <c r="C173" s="42">
        <v>56</v>
      </c>
      <c r="D173" s="61" t="s">
        <v>484</v>
      </c>
      <c r="E173" s="41" t="s">
        <v>485</v>
      </c>
      <c r="F173" s="40" t="s">
        <v>53</v>
      </c>
      <c r="G173" s="44" t="s">
        <v>433</v>
      </c>
      <c r="H173" s="44" t="s">
        <v>274</v>
      </c>
      <c r="I173" s="44" t="s">
        <v>67</v>
      </c>
      <c r="J173" s="44" t="s">
        <v>486</v>
      </c>
    </row>
    <row r="174" spans="1:10" x14ac:dyDescent="0.25">
      <c r="A174" s="40" t="s">
        <v>884</v>
      </c>
      <c r="B174" s="41">
        <v>83</v>
      </c>
      <c r="C174" s="42">
        <v>79</v>
      </c>
      <c r="D174" s="61" t="s">
        <v>487</v>
      </c>
      <c r="E174" s="41" t="s">
        <v>488</v>
      </c>
      <c r="F174" s="40" t="s">
        <v>73</v>
      </c>
      <c r="G174" s="44" t="s">
        <v>117</v>
      </c>
      <c r="H174" s="44" t="s">
        <v>9</v>
      </c>
      <c r="I174" s="44" t="s">
        <v>37</v>
      </c>
      <c r="J174" s="44" t="s">
        <v>336</v>
      </c>
    </row>
    <row r="175" spans="1:10" x14ac:dyDescent="0.25">
      <c r="A175" s="40" t="s">
        <v>884</v>
      </c>
      <c r="B175" s="41">
        <v>83</v>
      </c>
      <c r="C175" s="42">
        <v>93</v>
      </c>
      <c r="D175" s="61" t="s">
        <v>489</v>
      </c>
      <c r="E175" s="41" t="s">
        <v>490</v>
      </c>
      <c r="F175" s="40" t="s">
        <v>82</v>
      </c>
      <c r="G175" s="44" t="s">
        <v>99</v>
      </c>
      <c r="H175" s="44" t="s">
        <v>252</v>
      </c>
      <c r="I175" s="44" t="s">
        <v>18</v>
      </c>
      <c r="J175" s="44" t="s">
        <v>32</v>
      </c>
    </row>
    <row r="176" spans="1:10" x14ac:dyDescent="0.25">
      <c r="A176" s="40" t="s">
        <v>884</v>
      </c>
      <c r="B176" s="41">
        <v>83</v>
      </c>
      <c r="C176" s="42">
        <v>21</v>
      </c>
      <c r="D176" s="61" t="s">
        <v>491</v>
      </c>
      <c r="E176" s="41">
        <v>1973</v>
      </c>
      <c r="F176" s="40" t="s">
        <v>73</v>
      </c>
      <c r="G176" s="44">
        <v>135</v>
      </c>
      <c r="H176" s="44">
        <v>90</v>
      </c>
      <c r="I176" s="44">
        <v>162.5</v>
      </c>
      <c r="J176" s="44">
        <v>387.5</v>
      </c>
    </row>
    <row r="177" spans="1:10" x14ac:dyDescent="0.25">
      <c r="A177" s="40" t="s">
        <v>885</v>
      </c>
      <c r="B177" s="41">
        <v>83</v>
      </c>
      <c r="C177" s="42">
        <v>95</v>
      </c>
      <c r="D177" s="61" t="s">
        <v>510</v>
      </c>
      <c r="E177" s="41" t="s">
        <v>505</v>
      </c>
      <c r="F177" s="40" t="s">
        <v>58</v>
      </c>
      <c r="G177" s="44" t="s">
        <v>255</v>
      </c>
      <c r="H177" s="44" t="s">
        <v>99</v>
      </c>
      <c r="I177" s="44" t="s">
        <v>59</v>
      </c>
      <c r="J177" s="44" t="s">
        <v>329</v>
      </c>
    </row>
    <row r="178" spans="1:10" x14ac:dyDescent="0.25">
      <c r="A178" s="40" t="s">
        <v>885</v>
      </c>
      <c r="B178" s="41">
        <v>83</v>
      </c>
      <c r="C178" s="42">
        <v>3</v>
      </c>
      <c r="D178" s="61" t="s">
        <v>511</v>
      </c>
      <c r="E178" s="41" t="s">
        <v>503</v>
      </c>
      <c r="F178" s="40" t="s">
        <v>89</v>
      </c>
      <c r="G178" s="44" t="s">
        <v>512</v>
      </c>
      <c r="H178" s="44" t="s">
        <v>512</v>
      </c>
      <c r="I178" s="44" t="s">
        <v>512</v>
      </c>
      <c r="J178" s="44" t="s">
        <v>513</v>
      </c>
    </row>
    <row r="179" spans="1:10" x14ac:dyDescent="0.25">
      <c r="A179" s="40" t="s">
        <v>885</v>
      </c>
      <c r="B179" s="41">
        <v>83</v>
      </c>
      <c r="C179" s="42">
        <v>3</v>
      </c>
      <c r="D179" s="61" t="s">
        <v>511</v>
      </c>
      <c r="E179" s="41" t="s">
        <v>503</v>
      </c>
      <c r="F179" s="40" t="s">
        <v>89</v>
      </c>
      <c r="G179" s="69"/>
      <c r="H179" s="41" t="s">
        <v>512</v>
      </c>
      <c r="I179" s="69"/>
      <c r="J179" s="69"/>
    </row>
    <row r="180" spans="1:10" x14ac:dyDescent="0.25">
      <c r="A180" s="40"/>
      <c r="B180" s="41"/>
      <c r="C180" s="42"/>
      <c r="D180" s="33" t="s">
        <v>940</v>
      </c>
      <c r="E180" s="41"/>
      <c r="F180" s="40"/>
      <c r="G180" s="69"/>
      <c r="H180" s="41"/>
      <c r="I180" s="69"/>
      <c r="J180" s="69"/>
    </row>
    <row r="181" spans="1:10" x14ac:dyDescent="0.25">
      <c r="A181" s="40"/>
      <c r="B181" s="41"/>
      <c r="C181" s="42"/>
      <c r="D181" s="33" t="s">
        <v>906</v>
      </c>
      <c r="E181" s="41"/>
      <c r="F181" s="40"/>
      <c r="G181" s="69"/>
      <c r="H181" s="41"/>
      <c r="I181" s="69"/>
      <c r="J181" s="69"/>
    </row>
    <row r="182" spans="1:10" x14ac:dyDescent="0.25">
      <c r="A182" s="40" t="s">
        <v>4</v>
      </c>
      <c r="B182" s="41">
        <v>83</v>
      </c>
      <c r="C182" s="42">
        <v>54</v>
      </c>
      <c r="D182" s="61" t="s">
        <v>148</v>
      </c>
      <c r="E182" s="41" t="s">
        <v>149</v>
      </c>
      <c r="F182" s="40" t="s">
        <v>53</v>
      </c>
      <c r="G182" s="44" t="s">
        <v>150</v>
      </c>
      <c r="H182" s="44" t="s">
        <v>65</v>
      </c>
      <c r="I182" s="44" t="s">
        <v>12</v>
      </c>
      <c r="J182" s="44" t="s">
        <v>151</v>
      </c>
    </row>
    <row r="183" spans="1:10" x14ac:dyDescent="0.25">
      <c r="A183" s="40" t="s">
        <v>4</v>
      </c>
      <c r="B183" s="41">
        <v>83</v>
      </c>
      <c r="C183" s="42">
        <v>90</v>
      </c>
      <c r="D183" s="61" t="s">
        <v>152</v>
      </c>
      <c r="E183" s="41" t="s">
        <v>81</v>
      </c>
      <c r="F183" s="40" t="s">
        <v>73</v>
      </c>
      <c r="G183" s="44" t="s">
        <v>153</v>
      </c>
      <c r="H183" s="44" t="s">
        <v>154</v>
      </c>
      <c r="I183" s="44" t="s">
        <v>155</v>
      </c>
      <c r="J183" s="44" t="s">
        <v>156</v>
      </c>
    </row>
    <row r="184" spans="1:10" x14ac:dyDescent="0.25">
      <c r="A184" s="40" t="s">
        <v>4</v>
      </c>
      <c r="B184" s="41">
        <v>83</v>
      </c>
      <c r="C184" s="42">
        <v>65</v>
      </c>
      <c r="D184" s="61" t="s">
        <v>159</v>
      </c>
      <c r="E184" s="41" t="s">
        <v>81</v>
      </c>
      <c r="F184" s="40" t="s">
        <v>89</v>
      </c>
      <c r="G184" s="44" t="s">
        <v>160</v>
      </c>
      <c r="H184" s="44" t="s">
        <v>161</v>
      </c>
      <c r="I184" s="44" t="s">
        <v>153</v>
      </c>
      <c r="J184" s="44" t="s">
        <v>162</v>
      </c>
    </row>
    <row r="185" spans="1:10" x14ac:dyDescent="0.25">
      <c r="A185" s="40" t="s">
        <v>4</v>
      </c>
      <c r="B185" s="41">
        <v>83</v>
      </c>
      <c r="C185" s="42">
        <v>23</v>
      </c>
      <c r="D185" s="61" t="s">
        <v>163</v>
      </c>
      <c r="E185" s="41" t="s">
        <v>81</v>
      </c>
      <c r="F185" s="40" t="s">
        <v>58</v>
      </c>
      <c r="G185" s="44" t="s">
        <v>107</v>
      </c>
      <c r="H185" s="44" t="s">
        <v>18</v>
      </c>
      <c r="I185" s="44" t="s">
        <v>155</v>
      </c>
      <c r="J185" s="44" t="s">
        <v>164</v>
      </c>
    </row>
    <row r="186" spans="1:10" x14ac:dyDescent="0.25">
      <c r="A186" s="40" t="s">
        <v>4</v>
      </c>
      <c r="B186" s="41">
        <v>83</v>
      </c>
      <c r="C186" s="42">
        <v>39</v>
      </c>
      <c r="D186" s="61" t="s">
        <v>167</v>
      </c>
      <c r="E186" s="41" t="s">
        <v>103</v>
      </c>
      <c r="F186" s="40" t="s">
        <v>141</v>
      </c>
      <c r="G186" s="44" t="s">
        <v>168</v>
      </c>
      <c r="H186" s="44" t="s">
        <v>55</v>
      </c>
      <c r="I186" s="44" t="s">
        <v>107</v>
      </c>
      <c r="J186" s="44" t="s">
        <v>95</v>
      </c>
    </row>
    <row r="187" spans="1:10" x14ac:dyDescent="0.25">
      <c r="A187" s="40" t="s">
        <v>4</v>
      </c>
      <c r="B187" s="41">
        <v>83</v>
      </c>
      <c r="C187" s="42">
        <v>62</v>
      </c>
      <c r="D187" s="61" t="s">
        <v>152</v>
      </c>
      <c r="E187" s="41" t="s">
        <v>81</v>
      </c>
      <c r="F187" s="40" t="s">
        <v>73</v>
      </c>
      <c r="G187" s="69"/>
      <c r="H187" s="41" t="s">
        <v>154</v>
      </c>
      <c r="I187" s="69"/>
      <c r="J187" s="69"/>
    </row>
    <row r="188" spans="1:10" x14ac:dyDescent="0.25">
      <c r="A188" s="40" t="s">
        <v>4</v>
      </c>
      <c r="B188" s="41">
        <v>83</v>
      </c>
      <c r="C188" s="42">
        <v>39</v>
      </c>
      <c r="D188" s="61" t="s">
        <v>167</v>
      </c>
      <c r="E188" s="41" t="s">
        <v>103</v>
      </c>
      <c r="F188" s="40" t="s">
        <v>141</v>
      </c>
      <c r="G188" s="69"/>
      <c r="H188" s="41" t="s">
        <v>55</v>
      </c>
      <c r="I188" s="69"/>
      <c r="J188" s="69"/>
    </row>
    <row r="189" spans="1:10" x14ac:dyDescent="0.25">
      <c r="A189" s="40" t="s">
        <v>883</v>
      </c>
      <c r="B189" s="41">
        <v>83</v>
      </c>
      <c r="C189" s="42">
        <v>50</v>
      </c>
      <c r="D189" s="61" t="s">
        <v>439</v>
      </c>
      <c r="E189" s="41" t="s">
        <v>431</v>
      </c>
      <c r="F189" s="40" t="s">
        <v>82</v>
      </c>
      <c r="G189" s="44" t="s">
        <v>140</v>
      </c>
      <c r="H189" s="44" t="s">
        <v>99</v>
      </c>
      <c r="I189" s="44" t="s">
        <v>107</v>
      </c>
      <c r="J189" s="44" t="s">
        <v>92</v>
      </c>
    </row>
    <row r="190" spans="1:10" x14ac:dyDescent="0.25">
      <c r="A190" s="40" t="s">
        <v>883</v>
      </c>
      <c r="B190" s="41">
        <v>83</v>
      </c>
      <c r="C190" s="42">
        <v>68</v>
      </c>
      <c r="D190" s="61" t="s">
        <v>440</v>
      </c>
      <c r="E190" s="41" t="s">
        <v>441</v>
      </c>
      <c r="F190" s="40" t="s">
        <v>141</v>
      </c>
      <c r="G190" s="44" t="s">
        <v>196</v>
      </c>
      <c r="H190" s="44" t="s">
        <v>161</v>
      </c>
      <c r="I190" s="44" t="s">
        <v>94</v>
      </c>
      <c r="J190" s="44" t="s">
        <v>293</v>
      </c>
    </row>
    <row r="191" spans="1:10" x14ac:dyDescent="0.25">
      <c r="A191" s="40" t="s">
        <v>883</v>
      </c>
      <c r="B191" s="41">
        <v>83</v>
      </c>
      <c r="C191" s="42">
        <v>78</v>
      </c>
      <c r="D191" s="61" t="s">
        <v>442</v>
      </c>
      <c r="E191" s="41" t="s">
        <v>443</v>
      </c>
      <c r="F191" s="40" t="s">
        <v>128</v>
      </c>
      <c r="G191" s="44" t="s">
        <v>65</v>
      </c>
      <c r="H191" s="44" t="s">
        <v>84</v>
      </c>
      <c r="I191" s="44" t="s">
        <v>166</v>
      </c>
      <c r="J191" s="44" t="s">
        <v>271</v>
      </c>
    </row>
    <row r="192" spans="1:10" x14ac:dyDescent="0.25">
      <c r="A192" s="40" t="s">
        <v>883</v>
      </c>
      <c r="B192" s="41">
        <v>83</v>
      </c>
      <c r="C192" s="42">
        <v>38</v>
      </c>
      <c r="D192" s="61" t="s">
        <v>444</v>
      </c>
      <c r="E192" s="41" t="s">
        <v>52</v>
      </c>
      <c r="F192" s="40" t="s">
        <v>141</v>
      </c>
      <c r="G192" s="44" t="s">
        <v>105</v>
      </c>
      <c r="H192" s="44" t="s">
        <v>252</v>
      </c>
      <c r="I192" s="44" t="s">
        <v>83</v>
      </c>
      <c r="J192" s="44" t="s">
        <v>445</v>
      </c>
    </row>
    <row r="193" spans="1:10" x14ac:dyDescent="0.25">
      <c r="A193" s="40" t="s">
        <v>883</v>
      </c>
      <c r="B193" s="41">
        <v>83</v>
      </c>
      <c r="C193" s="42">
        <v>13</v>
      </c>
      <c r="D193" s="61" t="s">
        <v>544</v>
      </c>
      <c r="E193" s="41" t="s">
        <v>451</v>
      </c>
      <c r="F193" s="40" t="s">
        <v>89</v>
      </c>
      <c r="G193" s="69"/>
      <c r="H193" s="41" t="s">
        <v>55</v>
      </c>
      <c r="I193" s="69"/>
      <c r="J193" s="69"/>
    </row>
    <row r="194" spans="1:10" x14ac:dyDescent="0.25">
      <c r="A194" s="75" t="s">
        <v>958</v>
      </c>
      <c r="B194" s="75"/>
      <c r="C194" s="75"/>
      <c r="D194" s="75"/>
      <c r="E194" s="75"/>
      <c r="F194" s="75"/>
      <c r="G194" s="75"/>
      <c r="H194" s="75"/>
      <c r="I194" s="75"/>
      <c r="J194" s="75"/>
    </row>
    <row r="195" spans="1:10" x14ac:dyDescent="0.25">
      <c r="A195" s="78" t="s">
        <v>953</v>
      </c>
      <c r="B195" s="78"/>
      <c r="C195" s="78"/>
      <c r="D195" s="78"/>
      <c r="E195" s="78"/>
      <c r="F195" s="78"/>
      <c r="G195" s="78"/>
      <c r="H195" s="78"/>
      <c r="I195" s="78"/>
      <c r="J195" s="78"/>
    </row>
    <row r="196" spans="1:10" x14ac:dyDescent="0.25">
      <c r="A196" s="78" t="s">
        <v>935</v>
      </c>
      <c r="B196" s="78"/>
      <c r="C196" s="78"/>
      <c r="D196" s="78"/>
      <c r="E196" s="78"/>
      <c r="F196" s="78"/>
      <c r="G196" s="78"/>
      <c r="H196" s="78"/>
      <c r="I196" s="78"/>
      <c r="J196" s="78"/>
    </row>
    <row r="197" spans="1:10" s="22" customFormat="1" x14ac:dyDescent="0.25">
      <c r="A197" s="77" t="s">
        <v>936</v>
      </c>
      <c r="B197" s="77"/>
      <c r="C197" s="77"/>
      <c r="D197" s="77"/>
      <c r="E197" s="77"/>
      <c r="F197" s="77"/>
      <c r="G197" s="77"/>
      <c r="H197" s="77"/>
      <c r="I197" s="77"/>
      <c r="J197" s="77"/>
    </row>
    <row r="198" spans="1:10" x14ac:dyDescent="0.25">
      <c r="A198" s="30" t="s">
        <v>0</v>
      </c>
      <c r="B198" s="30" t="s">
        <v>1</v>
      </c>
      <c r="C198" s="30" t="s">
        <v>931</v>
      </c>
      <c r="D198" s="37" t="s">
        <v>889</v>
      </c>
      <c r="E198" s="30" t="s">
        <v>890</v>
      </c>
      <c r="F198" s="30" t="s">
        <v>891</v>
      </c>
      <c r="G198" s="32" t="s">
        <v>874</v>
      </c>
      <c r="H198" s="32" t="s">
        <v>887</v>
      </c>
      <c r="I198" s="32" t="s">
        <v>888</v>
      </c>
      <c r="J198" s="32" t="s">
        <v>3</v>
      </c>
    </row>
    <row r="199" spans="1:10" s="22" customFormat="1" x14ac:dyDescent="0.25">
      <c r="A199" s="28"/>
      <c r="B199" s="28"/>
      <c r="C199" s="28"/>
      <c r="D199" s="38" t="s">
        <v>939</v>
      </c>
      <c r="E199" s="28"/>
      <c r="F199" s="28"/>
      <c r="G199" s="29"/>
      <c r="H199" s="29"/>
      <c r="I199" s="29"/>
      <c r="J199" s="29"/>
    </row>
    <row r="200" spans="1:10" x14ac:dyDescent="0.25">
      <c r="A200" s="40"/>
      <c r="B200" s="41"/>
      <c r="C200" s="42"/>
      <c r="D200" s="33" t="s">
        <v>907</v>
      </c>
      <c r="E200" s="41"/>
      <c r="F200" s="40"/>
      <c r="G200" s="44"/>
      <c r="H200" s="44"/>
      <c r="I200" s="44"/>
      <c r="J200" s="44"/>
    </row>
    <row r="201" spans="1:10" x14ac:dyDescent="0.25">
      <c r="A201" s="40" t="s">
        <v>324</v>
      </c>
      <c r="B201" s="41">
        <v>93</v>
      </c>
      <c r="C201" s="42">
        <v>96</v>
      </c>
      <c r="D201" s="61" t="s">
        <v>383</v>
      </c>
      <c r="E201" s="41" t="s">
        <v>77</v>
      </c>
      <c r="F201" s="40" t="s">
        <v>89</v>
      </c>
      <c r="G201" s="44" t="s">
        <v>121</v>
      </c>
      <c r="H201" s="44" t="s">
        <v>42</v>
      </c>
      <c r="I201" s="44" t="s">
        <v>384</v>
      </c>
      <c r="J201" s="44" t="s">
        <v>385</v>
      </c>
    </row>
    <row r="202" spans="1:10" x14ac:dyDescent="0.25">
      <c r="A202" s="40" t="s">
        <v>324</v>
      </c>
      <c r="B202" s="41">
        <v>93</v>
      </c>
      <c r="C202" s="42">
        <v>16</v>
      </c>
      <c r="D202" s="61" t="s">
        <v>386</v>
      </c>
      <c r="E202" s="41" t="s">
        <v>45</v>
      </c>
      <c r="F202" s="40" t="s">
        <v>89</v>
      </c>
      <c r="G202" s="44" t="s">
        <v>371</v>
      </c>
      <c r="H202" s="44" t="s">
        <v>326</v>
      </c>
      <c r="I202" s="44" t="s">
        <v>387</v>
      </c>
      <c r="J202" s="44" t="s">
        <v>388</v>
      </c>
    </row>
    <row r="203" spans="1:10" x14ac:dyDescent="0.25">
      <c r="A203" s="40" t="s">
        <v>324</v>
      </c>
      <c r="B203" s="41">
        <v>93</v>
      </c>
      <c r="C203" s="42">
        <v>71</v>
      </c>
      <c r="D203" s="61" t="s">
        <v>389</v>
      </c>
      <c r="E203" s="41" t="s">
        <v>351</v>
      </c>
      <c r="F203" s="40" t="s">
        <v>58</v>
      </c>
      <c r="G203" s="44" t="s">
        <v>121</v>
      </c>
      <c r="H203" s="44" t="s">
        <v>357</v>
      </c>
      <c r="I203" s="44" t="s">
        <v>112</v>
      </c>
      <c r="J203" s="44" t="s">
        <v>390</v>
      </c>
    </row>
    <row r="204" spans="1:10" x14ac:dyDescent="0.25">
      <c r="A204" s="40" t="s">
        <v>324</v>
      </c>
      <c r="B204" s="41">
        <v>93</v>
      </c>
      <c r="C204" s="42">
        <v>41</v>
      </c>
      <c r="D204" s="61" t="s">
        <v>391</v>
      </c>
      <c r="E204" s="41" t="s">
        <v>34</v>
      </c>
      <c r="F204" s="40" t="s">
        <v>128</v>
      </c>
      <c r="G204" s="44" t="s">
        <v>392</v>
      </c>
      <c r="H204" s="44" t="s">
        <v>47</v>
      </c>
      <c r="I204" s="44" t="s">
        <v>393</v>
      </c>
      <c r="J204" s="44" t="s">
        <v>394</v>
      </c>
    </row>
    <row r="205" spans="1:10" x14ac:dyDescent="0.25">
      <c r="A205" s="40" t="s">
        <v>324</v>
      </c>
      <c r="B205" s="41">
        <v>93</v>
      </c>
      <c r="C205" s="42">
        <v>85</v>
      </c>
      <c r="D205" s="61" t="s">
        <v>395</v>
      </c>
      <c r="E205" s="41">
        <v>2006</v>
      </c>
      <c r="F205" s="40" t="s">
        <v>73</v>
      </c>
      <c r="G205" s="44">
        <v>250</v>
      </c>
      <c r="H205" s="44">
        <v>155</v>
      </c>
      <c r="I205" s="44">
        <v>305</v>
      </c>
      <c r="J205" s="44">
        <v>710</v>
      </c>
    </row>
    <row r="206" spans="1:10" x14ac:dyDescent="0.25">
      <c r="A206" s="40" t="s">
        <v>324</v>
      </c>
      <c r="B206" s="41">
        <v>93</v>
      </c>
      <c r="C206" s="42">
        <v>91</v>
      </c>
      <c r="D206" s="61" t="s">
        <v>398</v>
      </c>
      <c r="E206" s="41" t="s">
        <v>351</v>
      </c>
      <c r="F206" s="40" t="s">
        <v>128</v>
      </c>
      <c r="G206" s="44" t="s">
        <v>85</v>
      </c>
      <c r="H206" s="44" t="s">
        <v>18</v>
      </c>
      <c r="I206" s="44" t="s">
        <v>85</v>
      </c>
      <c r="J206" s="44" t="s">
        <v>399</v>
      </c>
    </row>
    <row r="207" spans="1:10" x14ac:dyDescent="0.25">
      <c r="A207" s="40" t="s">
        <v>324</v>
      </c>
      <c r="B207" s="41">
        <v>93</v>
      </c>
      <c r="C207" s="42">
        <v>36</v>
      </c>
      <c r="D207" s="61" t="s">
        <v>401</v>
      </c>
      <c r="E207" s="41" t="s">
        <v>7</v>
      </c>
      <c r="F207" s="40" t="s">
        <v>141</v>
      </c>
      <c r="G207" s="44" t="s">
        <v>140</v>
      </c>
      <c r="H207" s="44" t="s">
        <v>99</v>
      </c>
      <c r="I207" s="44" t="s">
        <v>83</v>
      </c>
      <c r="J207" s="44" t="s">
        <v>402</v>
      </c>
    </row>
    <row r="208" spans="1:10" x14ac:dyDescent="0.25">
      <c r="A208" s="40" t="s">
        <v>324</v>
      </c>
      <c r="B208" s="41">
        <v>93</v>
      </c>
      <c r="C208" s="42">
        <v>52</v>
      </c>
      <c r="D208" s="61" t="s">
        <v>542</v>
      </c>
      <c r="E208" s="41" t="s">
        <v>45</v>
      </c>
      <c r="F208" s="40" t="s">
        <v>89</v>
      </c>
      <c r="G208" s="69"/>
      <c r="H208" s="41" t="s">
        <v>65</v>
      </c>
      <c r="I208" s="69"/>
      <c r="J208" s="69"/>
    </row>
    <row r="209" spans="1:10" x14ac:dyDescent="0.25">
      <c r="A209" s="40" t="s">
        <v>324</v>
      </c>
      <c r="B209" s="41">
        <v>93</v>
      </c>
      <c r="C209" s="42">
        <v>91</v>
      </c>
      <c r="D209" s="61" t="s">
        <v>398</v>
      </c>
      <c r="E209" s="41" t="s">
        <v>351</v>
      </c>
      <c r="F209" s="40" t="s">
        <v>128</v>
      </c>
      <c r="G209" s="69"/>
      <c r="H209" s="41" t="s">
        <v>18</v>
      </c>
      <c r="I209" s="69"/>
      <c r="J209" s="69"/>
    </row>
    <row r="210" spans="1:10" x14ac:dyDescent="0.25">
      <c r="A210" s="40" t="s">
        <v>875</v>
      </c>
      <c r="B210" s="41">
        <v>93</v>
      </c>
      <c r="C210" s="42">
        <v>24</v>
      </c>
      <c r="D210" s="61" t="s">
        <v>396</v>
      </c>
      <c r="E210" s="41" t="s">
        <v>34</v>
      </c>
      <c r="F210" s="40" t="s">
        <v>930</v>
      </c>
      <c r="G210" s="44" t="s">
        <v>137</v>
      </c>
      <c r="H210" s="44" t="s">
        <v>42</v>
      </c>
      <c r="I210" s="44" t="s">
        <v>392</v>
      </c>
      <c r="J210" s="44" t="s">
        <v>397</v>
      </c>
    </row>
    <row r="211" spans="1:10" x14ac:dyDescent="0.25">
      <c r="A211" s="40" t="s">
        <v>875</v>
      </c>
      <c r="B211" s="41">
        <v>93</v>
      </c>
      <c r="C211" s="42">
        <v>64</v>
      </c>
      <c r="D211" s="61" t="s">
        <v>630</v>
      </c>
      <c r="E211" s="41">
        <v>2001</v>
      </c>
      <c r="F211" s="40" t="s">
        <v>880</v>
      </c>
      <c r="G211" s="44">
        <v>230</v>
      </c>
      <c r="H211" s="44">
        <v>147.5</v>
      </c>
      <c r="I211" s="44">
        <v>280</v>
      </c>
      <c r="J211" s="44">
        <v>657.5</v>
      </c>
    </row>
    <row r="212" spans="1:10" x14ac:dyDescent="0.25">
      <c r="A212" s="40" t="s">
        <v>875</v>
      </c>
      <c r="B212" s="41">
        <v>93</v>
      </c>
      <c r="C212" s="42">
        <v>69</v>
      </c>
      <c r="D212" s="61" t="s">
        <v>631</v>
      </c>
      <c r="E212" s="41" t="s">
        <v>14</v>
      </c>
      <c r="F212" s="40" t="s">
        <v>632</v>
      </c>
      <c r="G212" s="44" t="s">
        <v>453</v>
      </c>
      <c r="H212" s="44" t="s">
        <v>161</v>
      </c>
      <c r="I212" s="44" t="s">
        <v>100</v>
      </c>
      <c r="J212" s="44" t="s">
        <v>86</v>
      </c>
    </row>
    <row r="213" spans="1:10" x14ac:dyDescent="0.25">
      <c r="A213" s="40" t="s">
        <v>875</v>
      </c>
      <c r="B213" s="41">
        <v>93</v>
      </c>
      <c r="C213" s="42">
        <v>14</v>
      </c>
      <c r="D213" s="61" t="s">
        <v>633</v>
      </c>
      <c r="E213" s="41" t="s">
        <v>28</v>
      </c>
      <c r="F213" s="40" t="s">
        <v>599</v>
      </c>
      <c r="G213" s="44" t="s">
        <v>67</v>
      </c>
      <c r="H213" s="44" t="s">
        <v>66</v>
      </c>
      <c r="I213" s="44" t="s">
        <v>59</v>
      </c>
      <c r="J213" s="44" t="s">
        <v>249</v>
      </c>
    </row>
    <row r="214" spans="1:10" x14ac:dyDescent="0.25">
      <c r="A214" s="75" t="s">
        <v>958</v>
      </c>
      <c r="B214" s="75"/>
      <c r="C214" s="75"/>
      <c r="D214" s="75"/>
      <c r="E214" s="75"/>
      <c r="F214" s="75"/>
      <c r="G214" s="75"/>
      <c r="H214" s="75"/>
      <c r="I214" s="75"/>
      <c r="J214" s="75"/>
    </row>
    <row r="215" spans="1:10" x14ac:dyDescent="0.25">
      <c r="A215" s="78" t="s">
        <v>954</v>
      </c>
      <c r="B215" s="78"/>
      <c r="C215" s="78"/>
      <c r="D215" s="78"/>
      <c r="E215" s="78"/>
      <c r="F215" s="78"/>
      <c r="G215" s="78"/>
      <c r="H215" s="78"/>
      <c r="I215" s="78"/>
      <c r="J215" s="78"/>
    </row>
    <row r="216" spans="1:10" x14ac:dyDescent="0.25">
      <c r="A216" s="78" t="s">
        <v>935</v>
      </c>
      <c r="B216" s="78"/>
      <c r="C216" s="78"/>
      <c r="D216" s="78"/>
      <c r="E216" s="78"/>
      <c r="F216" s="78"/>
      <c r="G216" s="78"/>
      <c r="H216" s="78"/>
      <c r="I216" s="78"/>
      <c r="J216" s="78"/>
    </row>
    <row r="217" spans="1:10" s="22" customFormat="1" x14ac:dyDescent="0.25">
      <c r="A217" s="77" t="s">
        <v>936</v>
      </c>
      <c r="B217" s="77"/>
      <c r="C217" s="77"/>
      <c r="D217" s="77"/>
      <c r="E217" s="77"/>
      <c r="F217" s="77"/>
      <c r="G217" s="77"/>
      <c r="H217" s="77"/>
      <c r="I217" s="77"/>
      <c r="J217" s="77"/>
    </row>
    <row r="218" spans="1:10" x14ac:dyDescent="0.25">
      <c r="A218" s="30" t="s">
        <v>0</v>
      </c>
      <c r="B218" s="30" t="s">
        <v>1</v>
      </c>
      <c r="C218" s="30" t="s">
        <v>931</v>
      </c>
      <c r="D218" s="37" t="s">
        <v>889</v>
      </c>
      <c r="E218" s="30" t="s">
        <v>890</v>
      </c>
      <c r="F218" s="30" t="s">
        <v>891</v>
      </c>
      <c r="G218" s="32" t="s">
        <v>874</v>
      </c>
      <c r="H218" s="32" t="s">
        <v>887</v>
      </c>
      <c r="I218" s="32" t="s">
        <v>888</v>
      </c>
      <c r="J218" s="32" t="s">
        <v>3</v>
      </c>
    </row>
    <row r="219" spans="1:10" s="22" customFormat="1" x14ac:dyDescent="0.25">
      <c r="A219" s="28"/>
      <c r="B219" s="28"/>
      <c r="C219" s="28"/>
      <c r="D219" s="38" t="s">
        <v>939</v>
      </c>
      <c r="E219" s="28"/>
      <c r="F219" s="28"/>
      <c r="G219" s="29"/>
      <c r="H219" s="29"/>
      <c r="I219" s="29"/>
      <c r="J219" s="29"/>
    </row>
    <row r="220" spans="1:10" s="22" customFormat="1" x14ac:dyDescent="0.25">
      <c r="A220" s="28"/>
      <c r="B220" s="28"/>
      <c r="C220" s="28"/>
      <c r="D220" s="38" t="s">
        <v>907</v>
      </c>
      <c r="E220" s="28"/>
      <c r="F220" s="28"/>
      <c r="G220" s="29"/>
      <c r="H220" s="29"/>
      <c r="I220" s="29"/>
      <c r="J220" s="29"/>
    </row>
    <row r="221" spans="1:10" x14ac:dyDescent="0.25">
      <c r="A221" s="40" t="s">
        <v>883</v>
      </c>
      <c r="B221" s="41">
        <v>93</v>
      </c>
      <c r="C221" s="42">
        <v>97</v>
      </c>
      <c r="D221" s="61" t="s">
        <v>446</v>
      </c>
      <c r="E221" s="41" t="s">
        <v>447</v>
      </c>
      <c r="F221" s="40" t="s">
        <v>89</v>
      </c>
      <c r="G221" s="44" t="s">
        <v>94</v>
      </c>
      <c r="H221" s="44" t="s">
        <v>357</v>
      </c>
      <c r="I221" s="44" t="s">
        <v>91</v>
      </c>
      <c r="J221" s="44" t="s">
        <v>354</v>
      </c>
    </row>
    <row r="222" spans="1:10" x14ac:dyDescent="0.25">
      <c r="A222" s="40" t="s">
        <v>883</v>
      </c>
      <c r="B222" s="41">
        <v>93</v>
      </c>
      <c r="C222" s="42">
        <v>99</v>
      </c>
      <c r="D222" s="61" t="s">
        <v>448</v>
      </c>
      <c r="E222" s="41" t="s">
        <v>449</v>
      </c>
      <c r="F222" s="40" t="s">
        <v>82</v>
      </c>
      <c r="G222" s="44" t="s">
        <v>166</v>
      </c>
      <c r="H222" s="44" t="s">
        <v>42</v>
      </c>
      <c r="I222" s="44" t="s">
        <v>166</v>
      </c>
      <c r="J222" s="44" t="s">
        <v>282</v>
      </c>
    </row>
    <row r="223" spans="1:10" x14ac:dyDescent="0.25">
      <c r="A223" s="40" t="s">
        <v>883</v>
      </c>
      <c r="B223" s="41">
        <v>93</v>
      </c>
      <c r="C223" s="42">
        <v>2</v>
      </c>
      <c r="D223" s="61" t="s">
        <v>450</v>
      </c>
      <c r="E223" s="41" t="s">
        <v>451</v>
      </c>
      <c r="F223" s="40" t="s">
        <v>128</v>
      </c>
      <c r="G223" s="44" t="s">
        <v>140</v>
      </c>
      <c r="H223" s="44" t="s">
        <v>55</v>
      </c>
      <c r="I223" s="44" t="s">
        <v>91</v>
      </c>
      <c r="J223" s="44" t="s">
        <v>143</v>
      </c>
    </row>
    <row r="224" spans="1:10" x14ac:dyDescent="0.25">
      <c r="A224" s="40" t="s">
        <v>883</v>
      </c>
      <c r="B224" s="41">
        <v>93</v>
      </c>
      <c r="C224" s="42">
        <v>25</v>
      </c>
      <c r="D224" s="61" t="s">
        <v>454</v>
      </c>
      <c r="E224" s="41" t="s">
        <v>449</v>
      </c>
      <c r="F224" s="40" t="s">
        <v>73</v>
      </c>
      <c r="G224" s="44" t="s">
        <v>186</v>
      </c>
      <c r="H224" s="44" t="s">
        <v>60</v>
      </c>
      <c r="I224" s="44" t="s">
        <v>83</v>
      </c>
      <c r="J224" s="44" t="s">
        <v>455</v>
      </c>
    </row>
    <row r="225" spans="1:10" x14ac:dyDescent="0.25">
      <c r="A225" s="40" t="s">
        <v>884</v>
      </c>
      <c r="B225" s="41">
        <v>93</v>
      </c>
      <c r="C225" s="42">
        <v>31</v>
      </c>
      <c r="D225" s="61" t="s">
        <v>492</v>
      </c>
      <c r="E225" s="41" t="s">
        <v>475</v>
      </c>
      <c r="F225" s="40" t="s">
        <v>89</v>
      </c>
      <c r="G225" s="44" t="s">
        <v>357</v>
      </c>
      <c r="H225" s="44" t="s">
        <v>256</v>
      </c>
      <c r="I225" s="44" t="s">
        <v>493</v>
      </c>
      <c r="J225" s="44" t="s">
        <v>494</v>
      </c>
    </row>
    <row r="226" spans="1:10" x14ac:dyDescent="0.25">
      <c r="A226" s="40" t="s">
        <v>884</v>
      </c>
      <c r="B226" s="41">
        <v>93</v>
      </c>
      <c r="C226" s="42">
        <v>88</v>
      </c>
      <c r="D226" s="61" t="s">
        <v>549</v>
      </c>
      <c r="E226" s="41" t="s">
        <v>483</v>
      </c>
      <c r="F226" s="40" t="s">
        <v>89</v>
      </c>
      <c r="G226" s="69"/>
      <c r="H226" s="41" t="s">
        <v>47</v>
      </c>
      <c r="I226" s="69"/>
      <c r="J226" s="69"/>
    </row>
    <row r="227" spans="1:10" x14ac:dyDescent="0.25">
      <c r="A227" s="40" t="s">
        <v>885</v>
      </c>
      <c r="B227" s="41">
        <v>93</v>
      </c>
      <c r="C227" s="42">
        <v>80</v>
      </c>
      <c r="D227" s="61" t="s">
        <v>514</v>
      </c>
      <c r="E227" s="41" t="s">
        <v>515</v>
      </c>
      <c r="F227" s="40" t="s">
        <v>82</v>
      </c>
      <c r="G227" s="44" t="s">
        <v>65</v>
      </c>
      <c r="H227" s="44" t="s">
        <v>99</v>
      </c>
      <c r="I227" s="44" t="s">
        <v>67</v>
      </c>
      <c r="J227" s="44" t="s">
        <v>249</v>
      </c>
    </row>
    <row r="228" spans="1:10" x14ac:dyDescent="0.25">
      <c r="A228" s="40" t="s">
        <v>885</v>
      </c>
      <c r="B228" s="41">
        <v>93</v>
      </c>
      <c r="C228" s="42">
        <v>57</v>
      </c>
      <c r="D228" s="61" t="s">
        <v>516</v>
      </c>
      <c r="E228" s="41" t="s">
        <v>503</v>
      </c>
      <c r="F228" s="40" t="s">
        <v>58</v>
      </c>
      <c r="G228" s="44" t="s">
        <v>255</v>
      </c>
      <c r="H228" s="44" t="s">
        <v>99</v>
      </c>
      <c r="I228" s="44" t="s">
        <v>255</v>
      </c>
      <c r="J228" s="44" t="s">
        <v>249</v>
      </c>
    </row>
    <row r="229" spans="1:10" x14ac:dyDescent="0.25">
      <c r="A229" s="40" t="s">
        <v>885</v>
      </c>
      <c r="B229" s="41">
        <v>93</v>
      </c>
      <c r="C229" s="42">
        <v>55</v>
      </c>
      <c r="D229" s="61" t="s">
        <v>517</v>
      </c>
      <c r="E229" s="41" t="s">
        <v>507</v>
      </c>
      <c r="F229" s="40" t="s">
        <v>89</v>
      </c>
      <c r="G229" s="44" t="s">
        <v>117</v>
      </c>
      <c r="H229" s="44" t="s">
        <v>9</v>
      </c>
      <c r="I229" s="44" t="s">
        <v>37</v>
      </c>
      <c r="J229" s="44" t="s">
        <v>336</v>
      </c>
    </row>
    <row r="230" spans="1:10" x14ac:dyDescent="0.25">
      <c r="A230" s="40" t="s">
        <v>885</v>
      </c>
      <c r="B230" s="41">
        <v>93</v>
      </c>
      <c r="C230" s="42">
        <v>94</v>
      </c>
      <c r="D230" s="61" t="s">
        <v>519</v>
      </c>
      <c r="E230" s="41" t="s">
        <v>515</v>
      </c>
      <c r="F230" s="40" t="s">
        <v>128</v>
      </c>
      <c r="G230" s="44" t="s">
        <v>345</v>
      </c>
      <c r="H230" s="44" t="s">
        <v>47</v>
      </c>
      <c r="I230" s="44" t="s">
        <v>17</v>
      </c>
      <c r="J230" s="44" t="s">
        <v>200</v>
      </c>
    </row>
    <row r="231" spans="1:10" x14ac:dyDescent="0.25">
      <c r="A231" s="40" t="s">
        <v>885</v>
      </c>
      <c r="B231" s="41">
        <v>93</v>
      </c>
      <c r="C231" s="42">
        <v>33</v>
      </c>
      <c r="D231" s="61" t="s">
        <v>519</v>
      </c>
      <c r="E231" s="41" t="s">
        <v>515</v>
      </c>
      <c r="F231" s="40" t="s">
        <v>128</v>
      </c>
      <c r="G231" s="69"/>
      <c r="H231" s="41" t="s">
        <v>47</v>
      </c>
      <c r="I231" s="69"/>
      <c r="J231" s="69"/>
    </row>
    <row r="232" spans="1:10" x14ac:dyDescent="0.25">
      <c r="A232" s="40" t="s">
        <v>885</v>
      </c>
      <c r="B232" s="41">
        <v>93</v>
      </c>
      <c r="C232" s="42">
        <v>61</v>
      </c>
      <c r="D232" s="61" t="s">
        <v>551</v>
      </c>
      <c r="E232" s="41" t="s">
        <v>505</v>
      </c>
      <c r="F232" s="40" t="s">
        <v>89</v>
      </c>
      <c r="G232" s="69"/>
      <c r="H232" s="41" t="s">
        <v>256</v>
      </c>
      <c r="I232" s="69"/>
      <c r="J232" s="69"/>
    </row>
    <row r="233" spans="1:10" x14ac:dyDescent="0.25">
      <c r="A233" s="40" t="s">
        <v>911</v>
      </c>
      <c r="B233" s="41">
        <v>93</v>
      </c>
      <c r="C233" s="42">
        <v>1</v>
      </c>
      <c r="D233" s="61" t="s">
        <v>298</v>
      </c>
      <c r="E233" s="41" t="s">
        <v>265</v>
      </c>
      <c r="F233" s="40" t="s">
        <v>89</v>
      </c>
      <c r="G233" s="44" t="s">
        <v>299</v>
      </c>
      <c r="H233" s="44" t="s">
        <v>300</v>
      </c>
      <c r="I233" s="44" t="s">
        <v>301</v>
      </c>
      <c r="J233" s="44" t="s">
        <v>302</v>
      </c>
    </row>
    <row r="234" spans="1:10" x14ac:dyDescent="0.25">
      <c r="A234" s="40" t="s">
        <v>911</v>
      </c>
      <c r="B234" s="41">
        <v>93</v>
      </c>
      <c r="C234" s="42">
        <v>12</v>
      </c>
      <c r="D234" s="61" t="s">
        <v>303</v>
      </c>
      <c r="E234" s="41" t="s">
        <v>246</v>
      </c>
      <c r="F234" s="40" t="s">
        <v>82</v>
      </c>
      <c r="G234" s="44" t="s">
        <v>94</v>
      </c>
      <c r="H234" s="44" t="s">
        <v>304</v>
      </c>
      <c r="I234" s="44" t="s">
        <v>137</v>
      </c>
      <c r="J234" s="44" t="s">
        <v>305</v>
      </c>
    </row>
    <row r="235" spans="1:10" x14ac:dyDescent="0.25">
      <c r="A235" s="40" t="s">
        <v>911</v>
      </c>
      <c r="B235" s="41">
        <v>93</v>
      </c>
      <c r="C235" s="42">
        <v>27</v>
      </c>
      <c r="D235" s="61" t="s">
        <v>306</v>
      </c>
      <c r="E235" s="41" t="s">
        <v>246</v>
      </c>
      <c r="F235" s="40" t="s">
        <v>89</v>
      </c>
      <c r="G235" s="44" t="s">
        <v>307</v>
      </c>
      <c r="H235" s="44" t="s">
        <v>308</v>
      </c>
      <c r="I235" s="44" t="s">
        <v>166</v>
      </c>
      <c r="J235" s="44" t="s">
        <v>309</v>
      </c>
    </row>
    <row r="236" spans="1:10" x14ac:dyDescent="0.25">
      <c r="A236" s="40" t="s">
        <v>911</v>
      </c>
      <c r="B236" s="41">
        <v>93</v>
      </c>
      <c r="C236" s="42">
        <v>10</v>
      </c>
      <c r="D236" s="61" t="s">
        <v>310</v>
      </c>
      <c r="E236" s="41" t="s">
        <v>246</v>
      </c>
      <c r="F236" s="40" t="s">
        <v>73</v>
      </c>
      <c r="G236" s="44" t="s">
        <v>146</v>
      </c>
      <c r="H236" s="44" t="s">
        <v>297</v>
      </c>
      <c r="I236" s="44" t="s">
        <v>61</v>
      </c>
      <c r="J236" s="44" t="s">
        <v>143</v>
      </c>
    </row>
    <row r="237" spans="1:10" x14ac:dyDescent="0.25">
      <c r="A237" s="40" t="s">
        <v>911</v>
      </c>
      <c r="B237" s="41">
        <v>93</v>
      </c>
      <c r="C237" s="42">
        <v>51</v>
      </c>
      <c r="D237" s="61" t="s">
        <v>311</v>
      </c>
      <c r="E237" s="41" t="s">
        <v>246</v>
      </c>
      <c r="F237" s="40" t="s">
        <v>128</v>
      </c>
      <c r="G237" s="44" t="s">
        <v>83</v>
      </c>
      <c r="H237" s="44" t="s">
        <v>90</v>
      </c>
      <c r="I237" s="44" t="s">
        <v>166</v>
      </c>
      <c r="J237" s="44" t="s">
        <v>312</v>
      </c>
    </row>
    <row r="238" spans="1:10" x14ac:dyDescent="0.25">
      <c r="A238" s="40"/>
      <c r="B238" s="41"/>
      <c r="C238" s="42"/>
      <c r="D238" s="38" t="s">
        <v>940</v>
      </c>
      <c r="E238" s="41"/>
      <c r="F238" s="40"/>
      <c r="G238" s="44"/>
      <c r="H238" s="44"/>
      <c r="I238" s="44"/>
      <c r="J238" s="44"/>
    </row>
    <row r="239" spans="1:10" x14ac:dyDescent="0.25">
      <c r="A239" s="40"/>
      <c r="B239" s="41"/>
      <c r="C239" s="42"/>
      <c r="D239" s="38" t="s">
        <v>907</v>
      </c>
      <c r="E239" s="41"/>
      <c r="F239" s="40"/>
      <c r="G239" s="44"/>
      <c r="H239" s="44"/>
      <c r="I239" s="44"/>
      <c r="J239" s="44"/>
    </row>
    <row r="240" spans="1:10" x14ac:dyDescent="0.25">
      <c r="A240" s="40" t="s">
        <v>4</v>
      </c>
      <c r="B240" s="41">
        <v>93</v>
      </c>
      <c r="C240" s="42">
        <v>59</v>
      </c>
      <c r="D240" s="61" t="s">
        <v>169</v>
      </c>
      <c r="E240" s="41" t="s">
        <v>88</v>
      </c>
      <c r="F240" s="40" t="s">
        <v>53</v>
      </c>
      <c r="G240" s="44" t="s">
        <v>121</v>
      </c>
      <c r="H240" s="44" t="s">
        <v>105</v>
      </c>
      <c r="I240" s="44" t="s">
        <v>170</v>
      </c>
      <c r="J240" s="44" t="s">
        <v>171</v>
      </c>
    </row>
    <row r="241" spans="1:10" x14ac:dyDescent="0.25">
      <c r="A241" s="40" t="s">
        <v>4</v>
      </c>
      <c r="B241" s="41">
        <v>93</v>
      </c>
      <c r="C241" s="42">
        <v>37</v>
      </c>
      <c r="D241" s="61" t="s">
        <v>172</v>
      </c>
      <c r="E241" s="41" t="s">
        <v>97</v>
      </c>
      <c r="F241" s="40" t="s">
        <v>58</v>
      </c>
      <c r="G241" s="44" t="s">
        <v>121</v>
      </c>
      <c r="H241" s="44" t="s">
        <v>65</v>
      </c>
      <c r="I241" s="44" t="s">
        <v>173</v>
      </c>
      <c r="J241" s="44" t="s">
        <v>174</v>
      </c>
    </row>
    <row r="242" spans="1:10" x14ac:dyDescent="0.25">
      <c r="A242" s="40" t="s">
        <v>4</v>
      </c>
      <c r="B242" s="41">
        <v>93</v>
      </c>
      <c r="C242" s="42">
        <v>48</v>
      </c>
      <c r="D242" s="61" t="s">
        <v>178</v>
      </c>
      <c r="E242" s="41" t="s">
        <v>88</v>
      </c>
      <c r="F242" s="40" t="s">
        <v>53</v>
      </c>
      <c r="G242" s="44" t="s">
        <v>112</v>
      </c>
      <c r="H242" s="44" t="s">
        <v>37</v>
      </c>
      <c r="I242" s="44" t="s">
        <v>121</v>
      </c>
      <c r="J242" s="44" t="s">
        <v>179</v>
      </c>
    </row>
    <row r="243" spans="1:10" x14ac:dyDescent="0.25">
      <c r="A243" s="40" t="s">
        <v>4</v>
      </c>
      <c r="B243" s="41">
        <v>93</v>
      </c>
      <c r="C243" s="42">
        <v>89</v>
      </c>
      <c r="D243" s="61" t="s">
        <v>180</v>
      </c>
      <c r="E243" s="41" t="s">
        <v>14</v>
      </c>
      <c r="F243" s="40" t="s">
        <v>73</v>
      </c>
      <c r="G243" s="44" t="s">
        <v>155</v>
      </c>
      <c r="H243" s="44" t="s">
        <v>18</v>
      </c>
      <c r="I243" s="44" t="s">
        <v>155</v>
      </c>
      <c r="J243" s="44" t="s">
        <v>181</v>
      </c>
    </row>
    <row r="244" spans="1:10" x14ac:dyDescent="0.25">
      <c r="A244" s="40" t="s">
        <v>4</v>
      </c>
      <c r="B244" s="41">
        <v>93</v>
      </c>
      <c r="C244" s="42">
        <v>40</v>
      </c>
      <c r="D244" s="61" t="s">
        <v>182</v>
      </c>
      <c r="E244" s="41" t="s">
        <v>120</v>
      </c>
      <c r="F244" s="40" t="s">
        <v>89</v>
      </c>
      <c r="G244" s="44" t="s">
        <v>183</v>
      </c>
      <c r="H244" s="44" t="s">
        <v>30</v>
      </c>
      <c r="I244" s="44" t="s">
        <v>177</v>
      </c>
      <c r="J244" s="44" t="s">
        <v>184</v>
      </c>
    </row>
    <row r="245" spans="1:10" x14ac:dyDescent="0.25">
      <c r="A245" s="40" t="s">
        <v>4</v>
      </c>
      <c r="B245" s="41">
        <v>93</v>
      </c>
      <c r="C245" s="42">
        <v>47</v>
      </c>
      <c r="D245" s="61" t="s">
        <v>185</v>
      </c>
      <c r="E245" s="41" t="s">
        <v>139</v>
      </c>
      <c r="F245" s="40" t="s">
        <v>128</v>
      </c>
      <c r="G245" s="44" t="s">
        <v>91</v>
      </c>
      <c r="H245" s="44" t="s">
        <v>186</v>
      </c>
      <c r="I245" s="44" t="s">
        <v>173</v>
      </c>
      <c r="J245" s="44" t="s">
        <v>187</v>
      </c>
    </row>
    <row r="246" spans="1:10" x14ac:dyDescent="0.25">
      <c r="A246" s="40" t="s">
        <v>4</v>
      </c>
      <c r="B246" s="41">
        <v>83</v>
      </c>
      <c r="C246" s="42">
        <v>77</v>
      </c>
      <c r="D246" s="61" t="s">
        <v>165</v>
      </c>
      <c r="E246" s="41" t="s">
        <v>88</v>
      </c>
      <c r="F246" s="40" t="s">
        <v>89</v>
      </c>
      <c r="G246" s="44" t="s">
        <v>61</v>
      </c>
      <c r="H246" s="44" t="s">
        <v>42</v>
      </c>
      <c r="I246" s="44" t="s">
        <v>137</v>
      </c>
      <c r="J246" s="44" t="s">
        <v>122</v>
      </c>
    </row>
    <row r="247" spans="1:10" x14ac:dyDescent="0.25">
      <c r="A247" s="40" t="s">
        <v>4</v>
      </c>
      <c r="B247" s="41">
        <v>93</v>
      </c>
      <c r="C247" s="42">
        <v>82</v>
      </c>
      <c r="D247" s="61" t="s">
        <v>188</v>
      </c>
      <c r="E247" s="41" t="s">
        <v>139</v>
      </c>
      <c r="F247" s="40" t="s">
        <v>58</v>
      </c>
      <c r="G247" s="44" t="s">
        <v>107</v>
      </c>
      <c r="H247" s="44" t="s">
        <v>84</v>
      </c>
      <c r="I247" s="44" t="s">
        <v>116</v>
      </c>
      <c r="J247" s="44" t="s">
        <v>189</v>
      </c>
    </row>
    <row r="248" spans="1:10" x14ac:dyDescent="0.25">
      <c r="A248" s="40" t="s">
        <v>4</v>
      </c>
      <c r="B248" s="41">
        <v>93</v>
      </c>
      <c r="C248" s="42">
        <v>42</v>
      </c>
      <c r="D248" s="61" t="s">
        <v>190</v>
      </c>
      <c r="E248" s="41" t="s">
        <v>14</v>
      </c>
      <c r="F248" s="40" t="s">
        <v>141</v>
      </c>
      <c r="G248" s="44" t="s">
        <v>191</v>
      </c>
      <c r="H248" s="44" t="s">
        <v>84</v>
      </c>
      <c r="I248" s="44" t="s">
        <v>147</v>
      </c>
      <c r="J248" s="44" t="s">
        <v>138</v>
      </c>
    </row>
    <row r="249" spans="1:10" x14ac:dyDescent="0.25">
      <c r="A249" s="40" t="s">
        <v>4</v>
      </c>
      <c r="B249" s="41">
        <v>93</v>
      </c>
      <c r="C249" s="42">
        <v>81</v>
      </c>
      <c r="D249" s="61" t="s">
        <v>192</v>
      </c>
      <c r="E249" s="41" t="s">
        <v>28</v>
      </c>
      <c r="F249" s="40" t="s">
        <v>141</v>
      </c>
      <c r="G249" s="44" t="s">
        <v>83</v>
      </c>
      <c r="H249" s="44" t="s">
        <v>132</v>
      </c>
      <c r="I249" s="44" t="s">
        <v>147</v>
      </c>
      <c r="J249" s="44" t="s">
        <v>193</v>
      </c>
    </row>
    <row r="250" spans="1:10" x14ac:dyDescent="0.25">
      <c r="A250" s="40" t="s">
        <v>4</v>
      </c>
      <c r="B250" s="41">
        <v>93</v>
      </c>
      <c r="C250" s="42">
        <v>34</v>
      </c>
      <c r="D250" s="61" t="s">
        <v>526</v>
      </c>
      <c r="E250" s="41" t="s">
        <v>527</v>
      </c>
      <c r="F250" s="40" t="s">
        <v>89</v>
      </c>
      <c r="G250" s="69"/>
      <c r="H250" s="41" t="s">
        <v>67</v>
      </c>
      <c r="I250" s="69"/>
      <c r="J250" s="69"/>
    </row>
    <row r="251" spans="1:10" x14ac:dyDescent="0.25">
      <c r="A251" s="40" t="s">
        <v>4</v>
      </c>
      <c r="B251" s="41">
        <v>93</v>
      </c>
      <c r="C251" s="42">
        <v>32</v>
      </c>
      <c r="D251" s="61" t="s">
        <v>452</v>
      </c>
      <c r="E251" s="41" t="s">
        <v>431</v>
      </c>
      <c r="F251" s="40" t="s">
        <v>89</v>
      </c>
      <c r="G251" s="69"/>
      <c r="H251" s="41" t="s">
        <v>255</v>
      </c>
      <c r="I251" s="69"/>
      <c r="J251" s="69"/>
    </row>
    <row r="252" spans="1:10" x14ac:dyDescent="0.25">
      <c r="A252" s="40" t="s">
        <v>4</v>
      </c>
      <c r="B252" s="41">
        <v>93</v>
      </c>
      <c r="C252" s="42">
        <v>17</v>
      </c>
      <c r="D252" s="61" t="s">
        <v>528</v>
      </c>
      <c r="E252" s="41">
        <v>2002</v>
      </c>
      <c r="F252" s="40" t="s">
        <v>73</v>
      </c>
      <c r="G252" s="69"/>
      <c r="H252" s="41">
        <v>162.5</v>
      </c>
      <c r="I252" s="69"/>
      <c r="J252" s="69"/>
    </row>
    <row r="253" spans="1:10" x14ac:dyDescent="0.25">
      <c r="A253" s="75" t="s">
        <v>958</v>
      </c>
      <c r="B253" s="75"/>
      <c r="C253" s="75"/>
      <c r="D253" s="75"/>
      <c r="E253" s="75"/>
      <c r="F253" s="75"/>
      <c r="G253" s="75"/>
      <c r="H253" s="75"/>
      <c r="I253" s="75"/>
      <c r="J253" s="75"/>
    </row>
    <row r="254" spans="1:10" x14ac:dyDescent="0.25">
      <c r="A254" s="78" t="s">
        <v>955</v>
      </c>
      <c r="B254" s="78"/>
      <c r="C254" s="78"/>
      <c r="D254" s="78"/>
      <c r="E254" s="78"/>
      <c r="F254" s="78"/>
      <c r="G254" s="78"/>
      <c r="H254" s="78"/>
      <c r="I254" s="78"/>
      <c r="J254" s="78"/>
    </row>
    <row r="255" spans="1:10" x14ac:dyDescent="0.25">
      <c r="A255" s="78" t="s">
        <v>935</v>
      </c>
      <c r="B255" s="78"/>
      <c r="C255" s="78"/>
      <c r="D255" s="78"/>
      <c r="E255" s="78"/>
      <c r="F255" s="78"/>
      <c r="G255" s="78"/>
      <c r="H255" s="78"/>
      <c r="I255" s="78"/>
      <c r="J255" s="78"/>
    </row>
    <row r="256" spans="1:10" s="22" customFormat="1" x14ac:dyDescent="0.25">
      <c r="A256" s="77" t="s">
        <v>936</v>
      </c>
      <c r="B256" s="77"/>
      <c r="C256" s="77"/>
      <c r="D256" s="77"/>
      <c r="E256" s="77"/>
      <c r="F256" s="77"/>
      <c r="G256" s="77"/>
      <c r="H256" s="77"/>
      <c r="I256" s="77"/>
      <c r="J256" s="77"/>
    </row>
    <row r="257" spans="1:10" x14ac:dyDescent="0.25">
      <c r="A257" s="30" t="s">
        <v>0</v>
      </c>
      <c r="B257" s="30" t="s">
        <v>1</v>
      </c>
      <c r="C257" s="30" t="s">
        <v>931</v>
      </c>
      <c r="D257" s="37" t="s">
        <v>889</v>
      </c>
      <c r="E257" s="30" t="s">
        <v>890</v>
      </c>
      <c r="F257" s="30" t="s">
        <v>891</v>
      </c>
      <c r="G257" s="32" t="s">
        <v>874</v>
      </c>
      <c r="H257" s="32" t="s">
        <v>887</v>
      </c>
      <c r="I257" s="32" t="s">
        <v>888</v>
      </c>
      <c r="J257" s="32" t="s">
        <v>3</v>
      </c>
    </row>
    <row r="258" spans="1:10" s="22" customFormat="1" x14ac:dyDescent="0.25">
      <c r="A258" s="28"/>
      <c r="B258" s="28"/>
      <c r="C258" s="28"/>
      <c r="D258" s="38" t="s">
        <v>939</v>
      </c>
      <c r="E258" s="28"/>
      <c r="F258" s="28"/>
      <c r="G258" s="29"/>
      <c r="H258" s="29"/>
      <c r="I258" s="29"/>
      <c r="J258" s="29"/>
    </row>
    <row r="259" spans="1:10" x14ac:dyDescent="0.25">
      <c r="A259" s="40"/>
      <c r="B259" s="41"/>
      <c r="C259" s="42"/>
      <c r="D259" s="33" t="s">
        <v>908</v>
      </c>
      <c r="E259" s="41"/>
      <c r="F259" s="40"/>
      <c r="G259" s="44"/>
      <c r="H259" s="44"/>
      <c r="I259" s="44"/>
      <c r="J259" s="44"/>
    </row>
    <row r="260" spans="1:10" x14ac:dyDescent="0.25">
      <c r="A260" s="40" t="s">
        <v>883</v>
      </c>
      <c r="B260" s="41">
        <v>105</v>
      </c>
      <c r="C260" s="42">
        <v>26</v>
      </c>
      <c r="D260" s="61" t="s">
        <v>456</v>
      </c>
      <c r="E260" s="41" t="s">
        <v>149</v>
      </c>
      <c r="F260" s="40" t="s">
        <v>141</v>
      </c>
      <c r="G260" s="44" t="s">
        <v>91</v>
      </c>
      <c r="H260" s="44" t="s">
        <v>117</v>
      </c>
      <c r="I260" s="44" t="s">
        <v>217</v>
      </c>
      <c r="J260" s="44" t="s">
        <v>228</v>
      </c>
    </row>
    <row r="261" spans="1:10" x14ac:dyDescent="0.25">
      <c r="A261" s="40" t="s">
        <v>883</v>
      </c>
      <c r="B261" s="41">
        <v>105</v>
      </c>
      <c r="C261" s="42">
        <v>58</v>
      </c>
      <c r="D261" s="61" t="s">
        <v>457</v>
      </c>
      <c r="E261" s="41" t="s">
        <v>451</v>
      </c>
      <c r="F261" s="40" t="s">
        <v>141</v>
      </c>
      <c r="G261" s="44" t="s">
        <v>61</v>
      </c>
      <c r="H261" s="44" t="s">
        <v>348</v>
      </c>
      <c r="I261" s="44" t="s">
        <v>458</v>
      </c>
      <c r="J261" s="44" t="s">
        <v>459</v>
      </c>
    </row>
    <row r="262" spans="1:10" x14ac:dyDescent="0.25">
      <c r="A262" s="40" t="s">
        <v>883</v>
      </c>
      <c r="B262" s="41">
        <v>105</v>
      </c>
      <c r="C262" s="42">
        <v>74</v>
      </c>
      <c r="D262" s="61" t="s">
        <v>460</v>
      </c>
      <c r="E262" s="41" t="s">
        <v>443</v>
      </c>
      <c r="F262" s="40" t="s">
        <v>128</v>
      </c>
      <c r="G262" s="44" t="s">
        <v>166</v>
      </c>
      <c r="H262" s="44" t="s">
        <v>161</v>
      </c>
      <c r="I262" s="44" t="s">
        <v>137</v>
      </c>
      <c r="J262" s="44" t="s">
        <v>461</v>
      </c>
    </row>
    <row r="263" spans="1:10" x14ac:dyDescent="0.25">
      <c r="A263" s="40" t="s">
        <v>883</v>
      </c>
      <c r="B263" s="41">
        <v>105</v>
      </c>
      <c r="C263" s="42">
        <v>43</v>
      </c>
      <c r="D263" s="61" t="s">
        <v>462</v>
      </c>
      <c r="E263" s="41" t="s">
        <v>441</v>
      </c>
      <c r="F263" s="40" t="s">
        <v>89</v>
      </c>
      <c r="G263" s="44" t="s">
        <v>124</v>
      </c>
      <c r="H263" s="44" t="s">
        <v>158</v>
      </c>
      <c r="I263" s="44" t="s">
        <v>124</v>
      </c>
      <c r="J263" s="44" t="s">
        <v>354</v>
      </c>
    </row>
    <row r="264" spans="1:10" x14ac:dyDescent="0.25">
      <c r="A264" s="40" t="s">
        <v>883</v>
      </c>
      <c r="B264" s="41">
        <v>105</v>
      </c>
      <c r="C264" s="42">
        <v>83</v>
      </c>
      <c r="D264" s="61" t="s">
        <v>463</v>
      </c>
      <c r="E264" s="41" t="s">
        <v>464</v>
      </c>
      <c r="F264" s="40" t="s">
        <v>58</v>
      </c>
      <c r="G264" s="44" t="s">
        <v>94</v>
      </c>
      <c r="H264" s="44" t="s">
        <v>90</v>
      </c>
      <c r="I264" s="44" t="s">
        <v>94</v>
      </c>
      <c r="J264" s="44" t="s">
        <v>312</v>
      </c>
    </row>
    <row r="265" spans="1:10" x14ac:dyDescent="0.25">
      <c r="A265" s="40" t="s">
        <v>883</v>
      </c>
      <c r="B265" s="41">
        <v>105</v>
      </c>
      <c r="C265" s="42">
        <v>9</v>
      </c>
      <c r="D265" s="61" t="s">
        <v>465</v>
      </c>
      <c r="E265" s="41">
        <v>1985</v>
      </c>
      <c r="F265" s="40" t="s">
        <v>73</v>
      </c>
      <c r="G265" s="44">
        <v>225</v>
      </c>
      <c r="H265" s="44">
        <v>130</v>
      </c>
      <c r="I265" s="44">
        <v>225</v>
      </c>
      <c r="J265" s="44">
        <v>580</v>
      </c>
    </row>
    <row r="266" spans="1:10" x14ac:dyDescent="0.25">
      <c r="A266" s="40" t="s">
        <v>883</v>
      </c>
      <c r="B266" s="41">
        <v>105</v>
      </c>
      <c r="C266" s="42">
        <v>18</v>
      </c>
      <c r="D266" s="61" t="s">
        <v>545</v>
      </c>
      <c r="E266" s="41" t="s">
        <v>149</v>
      </c>
      <c r="F266" s="40" t="s">
        <v>89</v>
      </c>
      <c r="G266" s="69"/>
      <c r="H266" s="41" t="s">
        <v>546</v>
      </c>
      <c r="I266" s="69"/>
      <c r="J266" s="69"/>
    </row>
    <row r="267" spans="1:10" x14ac:dyDescent="0.25">
      <c r="A267" s="40" t="s">
        <v>883</v>
      </c>
      <c r="B267" s="41">
        <v>105</v>
      </c>
      <c r="C267" s="42">
        <v>43</v>
      </c>
      <c r="D267" s="61" t="s">
        <v>462</v>
      </c>
      <c r="E267" s="41" t="s">
        <v>441</v>
      </c>
      <c r="F267" s="40" t="s">
        <v>89</v>
      </c>
      <c r="G267" s="69"/>
      <c r="H267" s="41" t="s">
        <v>105</v>
      </c>
      <c r="I267" s="69"/>
      <c r="J267" s="69"/>
    </row>
    <row r="268" spans="1:10" x14ac:dyDescent="0.25">
      <c r="A268" s="40" t="s">
        <v>884</v>
      </c>
      <c r="B268" s="41">
        <v>105</v>
      </c>
      <c r="C268" s="42">
        <v>50</v>
      </c>
      <c r="D268" s="61" t="s">
        <v>495</v>
      </c>
      <c r="E268" s="41" t="s">
        <v>485</v>
      </c>
      <c r="F268" s="40" t="s">
        <v>53</v>
      </c>
      <c r="G268" s="44" t="s">
        <v>166</v>
      </c>
      <c r="H268" s="44" t="s">
        <v>30</v>
      </c>
      <c r="I268" s="44" t="s">
        <v>107</v>
      </c>
      <c r="J268" s="44" t="s">
        <v>461</v>
      </c>
    </row>
    <row r="269" spans="1:10" x14ac:dyDescent="0.25">
      <c r="A269" s="40" t="s">
        <v>884</v>
      </c>
      <c r="B269" s="41">
        <v>105</v>
      </c>
      <c r="C269" s="42">
        <v>68</v>
      </c>
      <c r="D269" s="61" t="s">
        <v>496</v>
      </c>
      <c r="E269" s="41" t="s">
        <v>470</v>
      </c>
      <c r="F269" s="40" t="s">
        <v>128</v>
      </c>
      <c r="G269" s="44" t="s">
        <v>146</v>
      </c>
      <c r="H269" s="44" t="s">
        <v>42</v>
      </c>
      <c r="I269" s="44" t="s">
        <v>166</v>
      </c>
      <c r="J269" s="44" t="s">
        <v>267</v>
      </c>
    </row>
    <row r="270" spans="1:10" x14ac:dyDescent="0.25">
      <c r="A270" s="40" t="s">
        <v>884</v>
      </c>
      <c r="B270" s="41">
        <v>105</v>
      </c>
      <c r="C270" s="42">
        <v>78</v>
      </c>
      <c r="D270" s="61" t="s">
        <v>497</v>
      </c>
      <c r="E270" s="41" t="s">
        <v>485</v>
      </c>
      <c r="F270" s="40" t="s">
        <v>58</v>
      </c>
      <c r="G270" s="44" t="s">
        <v>333</v>
      </c>
      <c r="H270" s="44" t="s">
        <v>498</v>
      </c>
      <c r="I270" s="44" t="s">
        <v>94</v>
      </c>
      <c r="J270" s="44" t="s">
        <v>499</v>
      </c>
    </row>
    <row r="271" spans="1:10" x14ac:dyDescent="0.25">
      <c r="A271" s="40" t="s">
        <v>885</v>
      </c>
      <c r="B271" s="41">
        <v>105</v>
      </c>
      <c r="C271" s="42">
        <v>38</v>
      </c>
      <c r="D271" s="61" t="s">
        <v>520</v>
      </c>
      <c r="E271" s="41" t="s">
        <v>515</v>
      </c>
      <c r="F271" s="40" t="s">
        <v>82</v>
      </c>
      <c r="G271" s="44" t="s">
        <v>18</v>
      </c>
      <c r="H271" s="44" t="s">
        <v>345</v>
      </c>
      <c r="I271" s="44" t="s">
        <v>18</v>
      </c>
      <c r="J271" s="44" t="s">
        <v>521</v>
      </c>
    </row>
    <row r="272" spans="1:10" x14ac:dyDescent="0.25">
      <c r="A272" s="40" t="s">
        <v>911</v>
      </c>
      <c r="B272" s="41">
        <v>105</v>
      </c>
      <c r="C272" s="42">
        <v>13</v>
      </c>
      <c r="D272" s="61" t="s">
        <v>313</v>
      </c>
      <c r="E272" s="41" t="s">
        <v>246</v>
      </c>
      <c r="F272" s="40" t="s">
        <v>73</v>
      </c>
      <c r="G272" s="44" t="s">
        <v>98</v>
      </c>
      <c r="H272" s="44" t="s">
        <v>55</v>
      </c>
      <c r="I272" s="44" t="s">
        <v>314</v>
      </c>
      <c r="J272" s="44" t="s">
        <v>248</v>
      </c>
    </row>
    <row r="273" spans="1:10" x14ac:dyDescent="0.25">
      <c r="A273" s="40" t="s">
        <v>911</v>
      </c>
      <c r="B273" s="41">
        <v>105</v>
      </c>
      <c r="C273" s="42">
        <v>8</v>
      </c>
      <c r="D273" s="61" t="s">
        <v>315</v>
      </c>
      <c r="E273" s="41" t="s">
        <v>246</v>
      </c>
      <c r="F273" s="40" t="s">
        <v>53</v>
      </c>
      <c r="G273" s="44" t="s">
        <v>292</v>
      </c>
      <c r="H273" s="44" t="s">
        <v>90</v>
      </c>
      <c r="I273" s="44" t="s">
        <v>67</v>
      </c>
      <c r="J273" s="44" t="s">
        <v>316</v>
      </c>
    </row>
    <row r="274" spans="1:10" x14ac:dyDescent="0.25">
      <c r="A274" s="40" t="s">
        <v>875</v>
      </c>
      <c r="B274" s="41">
        <v>105</v>
      </c>
      <c r="C274" s="42">
        <v>7</v>
      </c>
      <c r="D274" s="61" t="s">
        <v>634</v>
      </c>
      <c r="E274" s="41" t="s">
        <v>14</v>
      </c>
      <c r="F274" s="40" t="s">
        <v>635</v>
      </c>
      <c r="G274" s="44" t="s">
        <v>61</v>
      </c>
      <c r="H274" s="44" t="s">
        <v>99</v>
      </c>
      <c r="I274" s="44" t="s">
        <v>636</v>
      </c>
      <c r="J274" s="44" t="s">
        <v>637</v>
      </c>
    </row>
    <row r="275" spans="1:10" x14ac:dyDescent="0.25">
      <c r="A275" s="40" t="s">
        <v>875</v>
      </c>
      <c r="B275" s="41">
        <v>105</v>
      </c>
      <c r="C275" s="42">
        <v>56</v>
      </c>
      <c r="D275" s="61" t="s">
        <v>638</v>
      </c>
      <c r="E275" s="41">
        <v>2006</v>
      </c>
      <c r="F275" s="40" t="s">
        <v>622</v>
      </c>
      <c r="G275" s="44">
        <v>260</v>
      </c>
      <c r="H275" s="44">
        <v>140</v>
      </c>
      <c r="I275" s="44">
        <v>250</v>
      </c>
      <c r="J275" s="44">
        <v>650</v>
      </c>
    </row>
    <row r="276" spans="1:10" x14ac:dyDescent="0.25">
      <c r="A276" s="40" t="s">
        <v>875</v>
      </c>
      <c r="B276" s="41">
        <v>105</v>
      </c>
      <c r="C276" s="42">
        <v>79</v>
      </c>
      <c r="D276" s="61" t="s">
        <v>639</v>
      </c>
      <c r="E276" s="41" t="s">
        <v>28</v>
      </c>
      <c r="F276" s="40" t="s">
        <v>640</v>
      </c>
      <c r="G276" s="44" t="s">
        <v>94</v>
      </c>
      <c r="H276" s="44" t="s">
        <v>90</v>
      </c>
      <c r="I276" s="44" t="s">
        <v>641</v>
      </c>
      <c r="J276" s="44" t="s">
        <v>642</v>
      </c>
    </row>
    <row r="277" spans="1:10" x14ac:dyDescent="0.25">
      <c r="A277" s="40"/>
      <c r="B277" s="41"/>
      <c r="C277" s="42"/>
      <c r="D277" s="38" t="s">
        <v>940</v>
      </c>
      <c r="E277" s="41"/>
      <c r="F277" s="40"/>
      <c r="G277" s="44"/>
      <c r="H277" s="44"/>
      <c r="I277" s="44"/>
      <c r="J277" s="44"/>
    </row>
    <row r="278" spans="1:10" x14ac:dyDescent="0.25">
      <c r="A278" s="40"/>
      <c r="B278" s="41"/>
      <c r="C278" s="42"/>
      <c r="D278" s="38" t="s">
        <v>908</v>
      </c>
      <c r="E278" s="41"/>
      <c r="F278" s="40"/>
      <c r="G278" s="44"/>
      <c r="H278" s="44"/>
      <c r="I278" s="44"/>
      <c r="J278" s="44"/>
    </row>
    <row r="279" spans="1:10" x14ac:dyDescent="0.25">
      <c r="A279" s="40" t="s">
        <v>4</v>
      </c>
      <c r="B279" s="41">
        <v>105</v>
      </c>
      <c r="C279" s="42">
        <v>98</v>
      </c>
      <c r="D279" s="61" t="s">
        <v>195</v>
      </c>
      <c r="E279" s="41" t="s">
        <v>14</v>
      </c>
      <c r="F279" s="40" t="s">
        <v>73</v>
      </c>
      <c r="G279" s="44" t="s">
        <v>177</v>
      </c>
      <c r="H279" s="44" t="s">
        <v>196</v>
      </c>
      <c r="I279" s="44" t="s">
        <v>197</v>
      </c>
      <c r="J279" s="44" t="s">
        <v>198</v>
      </c>
    </row>
    <row r="280" spans="1:10" x14ac:dyDescent="0.25">
      <c r="A280" s="40" t="s">
        <v>4</v>
      </c>
      <c r="B280" s="41">
        <v>105</v>
      </c>
      <c r="C280" s="42">
        <v>72</v>
      </c>
      <c r="D280" s="61" t="s">
        <v>199</v>
      </c>
      <c r="E280" s="41">
        <v>1995</v>
      </c>
      <c r="F280" s="40" t="s">
        <v>89</v>
      </c>
      <c r="G280" s="44">
        <v>315</v>
      </c>
      <c r="H280" s="44">
        <v>190</v>
      </c>
      <c r="I280" s="44">
        <v>297.5</v>
      </c>
      <c r="J280" s="44">
        <v>802.5</v>
      </c>
    </row>
    <row r="281" spans="1:10" x14ac:dyDescent="0.25">
      <c r="A281" s="40" t="s">
        <v>4</v>
      </c>
      <c r="B281" s="41">
        <v>105</v>
      </c>
      <c r="C281" s="42">
        <v>20</v>
      </c>
      <c r="D281" s="61" t="s">
        <v>201</v>
      </c>
      <c r="E281" s="41" t="s">
        <v>14</v>
      </c>
      <c r="F281" s="40" t="s">
        <v>58</v>
      </c>
      <c r="G281" s="44" t="s">
        <v>200</v>
      </c>
      <c r="H281" s="44" t="s">
        <v>186</v>
      </c>
      <c r="I281" s="44" t="s">
        <v>202</v>
      </c>
      <c r="J281" s="44" t="s">
        <v>203</v>
      </c>
    </row>
    <row r="282" spans="1:10" x14ac:dyDescent="0.25">
      <c r="A282" s="40" t="s">
        <v>4</v>
      </c>
      <c r="B282" s="41">
        <v>105</v>
      </c>
      <c r="C282" s="42">
        <v>54</v>
      </c>
      <c r="D282" s="61" t="s">
        <v>204</v>
      </c>
      <c r="E282" s="41" t="s">
        <v>81</v>
      </c>
      <c r="F282" s="40" t="s">
        <v>128</v>
      </c>
      <c r="G282" s="44" t="s">
        <v>205</v>
      </c>
      <c r="H282" s="44" t="s">
        <v>186</v>
      </c>
      <c r="I282" s="44" t="s">
        <v>177</v>
      </c>
      <c r="J282" s="44" t="s">
        <v>206</v>
      </c>
    </row>
    <row r="283" spans="1:10" x14ac:dyDescent="0.25">
      <c r="A283" s="40" t="s">
        <v>4</v>
      </c>
      <c r="B283" s="41">
        <v>105</v>
      </c>
      <c r="C283" s="42">
        <v>90</v>
      </c>
      <c r="D283" s="61" t="s">
        <v>207</v>
      </c>
      <c r="E283" s="41" t="s">
        <v>64</v>
      </c>
      <c r="F283" s="40" t="s">
        <v>104</v>
      </c>
      <c r="G283" s="44" t="s">
        <v>142</v>
      </c>
      <c r="H283" s="44" t="s">
        <v>16</v>
      </c>
      <c r="I283" s="44" t="s">
        <v>208</v>
      </c>
      <c r="J283" s="44" t="s">
        <v>209</v>
      </c>
    </row>
    <row r="284" spans="1:10" x14ac:dyDescent="0.25">
      <c r="A284" s="40" t="s">
        <v>4</v>
      </c>
      <c r="B284" s="41">
        <v>120</v>
      </c>
      <c r="C284" s="42">
        <v>65</v>
      </c>
      <c r="D284" s="61" t="s">
        <v>233</v>
      </c>
      <c r="E284" s="41" t="s">
        <v>69</v>
      </c>
      <c r="F284" s="40" t="s">
        <v>58</v>
      </c>
      <c r="G284" s="44" t="s">
        <v>85</v>
      </c>
      <c r="H284" s="44" t="s">
        <v>11</v>
      </c>
      <c r="I284" s="44" t="s">
        <v>107</v>
      </c>
      <c r="J284" s="44" t="s">
        <v>234</v>
      </c>
    </row>
    <row r="285" spans="1:10" x14ac:dyDescent="0.25">
      <c r="A285" s="40" t="s">
        <v>4</v>
      </c>
      <c r="B285" s="41">
        <v>105</v>
      </c>
      <c r="C285" s="42">
        <v>23</v>
      </c>
      <c r="D285" s="61" t="s">
        <v>210</v>
      </c>
      <c r="E285" s="41" t="s">
        <v>131</v>
      </c>
      <c r="F285" s="40" t="s">
        <v>141</v>
      </c>
      <c r="G285" s="44" t="s">
        <v>166</v>
      </c>
      <c r="H285" s="44" t="s">
        <v>161</v>
      </c>
      <c r="I285" s="44" t="s">
        <v>142</v>
      </c>
      <c r="J285" s="44" t="s">
        <v>211</v>
      </c>
    </row>
    <row r="286" spans="1:10" x14ac:dyDescent="0.25">
      <c r="A286" s="40" t="s">
        <v>4</v>
      </c>
      <c r="B286" s="41">
        <v>105</v>
      </c>
      <c r="C286" s="42">
        <v>39</v>
      </c>
      <c r="D286" s="61" t="s">
        <v>529</v>
      </c>
      <c r="E286" s="41" t="s">
        <v>69</v>
      </c>
      <c r="F286" s="40" t="s">
        <v>73</v>
      </c>
      <c r="G286" s="69"/>
      <c r="H286" s="41" t="s">
        <v>98</v>
      </c>
      <c r="I286" s="69"/>
      <c r="J286" s="69"/>
    </row>
    <row r="287" spans="1:10" x14ac:dyDescent="0.25">
      <c r="A287" s="40" t="s">
        <v>4</v>
      </c>
      <c r="B287" s="41">
        <v>105</v>
      </c>
      <c r="C287" s="42">
        <v>62</v>
      </c>
      <c r="D287" s="61" t="s">
        <v>530</v>
      </c>
      <c r="E287" s="41" t="s">
        <v>139</v>
      </c>
      <c r="F287" s="40" t="s">
        <v>89</v>
      </c>
      <c r="G287" s="69"/>
      <c r="H287" s="41" t="s">
        <v>37</v>
      </c>
      <c r="I287" s="69"/>
      <c r="J287" s="69"/>
    </row>
    <row r="288" spans="1:10" x14ac:dyDescent="0.25">
      <c r="A288" s="40" t="s">
        <v>4</v>
      </c>
      <c r="B288" s="41">
        <v>105</v>
      </c>
      <c r="C288" s="42">
        <v>30</v>
      </c>
      <c r="D288" s="61" t="s">
        <v>531</v>
      </c>
      <c r="E288" s="41" t="s">
        <v>72</v>
      </c>
      <c r="F288" s="40" t="s">
        <v>89</v>
      </c>
      <c r="G288" s="69"/>
      <c r="H288" s="41" t="s">
        <v>176</v>
      </c>
      <c r="I288" s="69"/>
      <c r="J288" s="69"/>
    </row>
    <row r="289" spans="1:10" x14ac:dyDescent="0.25">
      <c r="A289" s="40" t="s">
        <v>324</v>
      </c>
      <c r="B289" s="41">
        <v>105</v>
      </c>
      <c r="C289" s="42">
        <v>63</v>
      </c>
      <c r="D289" s="61" t="s">
        <v>403</v>
      </c>
      <c r="E289" s="41" t="s">
        <v>34</v>
      </c>
      <c r="F289" s="40" t="s">
        <v>89</v>
      </c>
      <c r="G289" s="44" t="s">
        <v>157</v>
      </c>
      <c r="H289" s="44" t="s">
        <v>186</v>
      </c>
      <c r="I289" s="44" t="s">
        <v>26</v>
      </c>
      <c r="J289" s="44" t="s">
        <v>404</v>
      </c>
    </row>
    <row r="290" spans="1:10" x14ac:dyDescent="0.25">
      <c r="A290" s="40" t="s">
        <v>324</v>
      </c>
      <c r="B290" s="41">
        <v>105</v>
      </c>
      <c r="C290" s="42">
        <v>44</v>
      </c>
      <c r="D290" s="61" t="s">
        <v>405</v>
      </c>
      <c r="E290" s="41" t="s">
        <v>7</v>
      </c>
      <c r="F290" s="40" t="s">
        <v>89</v>
      </c>
      <c r="G290" s="44" t="s">
        <v>406</v>
      </c>
      <c r="H290" s="44" t="s">
        <v>326</v>
      </c>
      <c r="I290" s="44" t="s">
        <v>407</v>
      </c>
      <c r="J290" s="44" t="s">
        <v>171</v>
      </c>
    </row>
    <row r="291" spans="1:10" x14ac:dyDescent="0.25">
      <c r="A291" s="40" t="s">
        <v>324</v>
      </c>
      <c r="B291" s="41">
        <v>105</v>
      </c>
      <c r="C291" s="42">
        <v>87</v>
      </c>
      <c r="D291" s="61" t="s">
        <v>408</v>
      </c>
      <c r="E291" s="41">
        <v>2005</v>
      </c>
      <c r="F291" s="40" t="s">
        <v>73</v>
      </c>
      <c r="G291" s="44">
        <v>280</v>
      </c>
      <c r="H291" s="44">
        <v>200.5</v>
      </c>
      <c r="I291" s="44">
        <v>280</v>
      </c>
      <c r="J291" s="44">
        <v>760.5</v>
      </c>
    </row>
    <row r="292" spans="1:10" x14ac:dyDescent="0.25">
      <c r="A292" s="40" t="s">
        <v>324</v>
      </c>
      <c r="B292" s="41">
        <v>105</v>
      </c>
      <c r="C292" s="42">
        <v>4</v>
      </c>
      <c r="D292" s="61" t="s">
        <v>409</v>
      </c>
      <c r="E292" s="41" t="s">
        <v>45</v>
      </c>
      <c r="F292" s="40" t="s">
        <v>128</v>
      </c>
      <c r="G292" s="44" t="s">
        <v>12</v>
      </c>
      <c r="H292" s="44" t="s">
        <v>186</v>
      </c>
      <c r="I292" s="44" t="s">
        <v>155</v>
      </c>
      <c r="J292" s="44" t="s">
        <v>410</v>
      </c>
    </row>
    <row r="293" spans="1:10" x14ac:dyDescent="0.25">
      <c r="A293" s="40" t="s">
        <v>324</v>
      </c>
      <c r="B293" s="41">
        <v>105</v>
      </c>
      <c r="C293" s="42">
        <v>45</v>
      </c>
      <c r="D293" s="61" t="s">
        <v>411</v>
      </c>
      <c r="E293" s="41" t="s">
        <v>351</v>
      </c>
      <c r="F293" s="40" t="s">
        <v>58</v>
      </c>
      <c r="G293" s="44" t="s">
        <v>107</v>
      </c>
      <c r="H293" s="44" t="s">
        <v>47</v>
      </c>
      <c r="I293" s="44" t="s">
        <v>12</v>
      </c>
      <c r="J293" s="44" t="s">
        <v>234</v>
      </c>
    </row>
    <row r="294" spans="1:10" x14ac:dyDescent="0.25">
      <c r="A294" s="40" t="s">
        <v>324</v>
      </c>
      <c r="B294" s="41">
        <v>93</v>
      </c>
      <c r="C294" s="42">
        <v>73</v>
      </c>
      <c r="D294" s="61" t="s">
        <v>400</v>
      </c>
      <c r="E294" s="41">
        <v>2004</v>
      </c>
      <c r="F294" s="40" t="s">
        <v>109</v>
      </c>
      <c r="G294" s="44">
        <v>240</v>
      </c>
      <c r="H294" s="44">
        <v>142.5</v>
      </c>
      <c r="I294" s="44">
        <v>280</v>
      </c>
      <c r="J294" s="44">
        <v>662.5</v>
      </c>
    </row>
    <row r="295" spans="1:10" x14ac:dyDescent="0.25">
      <c r="A295" s="40" t="s">
        <v>324</v>
      </c>
      <c r="B295" s="41">
        <v>105</v>
      </c>
      <c r="C295" s="42">
        <v>11</v>
      </c>
      <c r="D295" s="61" t="s">
        <v>543</v>
      </c>
      <c r="E295" s="41" t="s">
        <v>34</v>
      </c>
      <c r="F295" s="40" t="s">
        <v>89</v>
      </c>
      <c r="G295" s="69"/>
      <c r="H295" s="41" t="s">
        <v>326</v>
      </c>
      <c r="I295" s="69"/>
      <c r="J295" s="69"/>
    </row>
    <row r="296" spans="1:10" x14ac:dyDescent="0.25">
      <c r="A296" s="75" t="s">
        <v>958</v>
      </c>
      <c r="B296" s="75"/>
      <c r="C296" s="75"/>
      <c r="D296" s="75"/>
      <c r="E296" s="75"/>
      <c r="F296" s="75"/>
      <c r="G296" s="75"/>
      <c r="H296" s="75"/>
      <c r="I296" s="75"/>
      <c r="J296" s="75"/>
    </row>
    <row r="297" spans="1:10" x14ac:dyDescent="0.25">
      <c r="A297" s="78" t="s">
        <v>956</v>
      </c>
      <c r="B297" s="78"/>
      <c r="C297" s="78"/>
      <c r="D297" s="78"/>
      <c r="E297" s="78"/>
      <c r="F297" s="78"/>
      <c r="G297" s="78"/>
      <c r="H297" s="78"/>
      <c r="I297" s="78"/>
      <c r="J297" s="78"/>
    </row>
    <row r="298" spans="1:10" x14ac:dyDescent="0.25">
      <c r="A298" s="78" t="s">
        <v>935</v>
      </c>
      <c r="B298" s="78"/>
      <c r="C298" s="78"/>
      <c r="D298" s="78"/>
      <c r="E298" s="78"/>
      <c r="F298" s="78"/>
      <c r="G298" s="78"/>
      <c r="H298" s="78"/>
      <c r="I298" s="78"/>
      <c r="J298" s="78"/>
    </row>
    <row r="299" spans="1:10" s="22" customFormat="1" x14ac:dyDescent="0.25">
      <c r="A299" s="77" t="s">
        <v>936</v>
      </c>
      <c r="B299" s="77"/>
      <c r="C299" s="77"/>
      <c r="D299" s="77"/>
      <c r="E299" s="77"/>
      <c r="F299" s="77"/>
      <c r="G299" s="77"/>
      <c r="H299" s="77"/>
      <c r="I299" s="77"/>
      <c r="J299" s="77"/>
    </row>
    <row r="300" spans="1:10" x14ac:dyDescent="0.25">
      <c r="A300" s="30" t="s">
        <v>0</v>
      </c>
      <c r="B300" s="30" t="s">
        <v>1</v>
      </c>
      <c r="C300" s="30" t="s">
        <v>931</v>
      </c>
      <c r="D300" s="37" t="s">
        <v>889</v>
      </c>
      <c r="E300" s="30" t="s">
        <v>890</v>
      </c>
      <c r="F300" s="30" t="s">
        <v>891</v>
      </c>
      <c r="G300" s="32" t="s">
        <v>874</v>
      </c>
      <c r="H300" s="32" t="s">
        <v>887</v>
      </c>
      <c r="I300" s="32" t="s">
        <v>888</v>
      </c>
      <c r="J300" s="32" t="s">
        <v>3</v>
      </c>
    </row>
    <row r="301" spans="1:10" s="22" customFormat="1" x14ac:dyDescent="0.25">
      <c r="A301" s="28"/>
      <c r="B301" s="28"/>
      <c r="C301" s="28"/>
      <c r="D301" s="38" t="s">
        <v>939</v>
      </c>
      <c r="E301" s="28"/>
      <c r="F301" s="28"/>
      <c r="G301" s="29"/>
      <c r="H301" s="29"/>
      <c r="I301" s="29"/>
      <c r="J301" s="29"/>
    </row>
    <row r="302" spans="1:10" x14ac:dyDescent="0.25">
      <c r="A302" s="40"/>
      <c r="B302" s="41"/>
      <c r="C302" s="42"/>
      <c r="D302" s="33" t="s">
        <v>912</v>
      </c>
      <c r="E302" s="41"/>
      <c r="F302" s="40"/>
      <c r="G302" s="44"/>
      <c r="H302" s="44"/>
      <c r="I302" s="44"/>
      <c r="J302" s="44"/>
    </row>
    <row r="303" spans="1:10" x14ac:dyDescent="0.25">
      <c r="A303" s="40" t="s">
        <v>4</v>
      </c>
      <c r="B303" s="41">
        <v>120</v>
      </c>
      <c r="C303" s="42">
        <v>21</v>
      </c>
      <c r="D303" s="61" t="s">
        <v>212</v>
      </c>
      <c r="E303" s="41" t="s">
        <v>14</v>
      </c>
      <c r="F303" s="40" t="s">
        <v>89</v>
      </c>
      <c r="G303" s="44" t="s">
        <v>213</v>
      </c>
      <c r="H303" s="44" t="s">
        <v>98</v>
      </c>
      <c r="I303" s="44" t="s">
        <v>214</v>
      </c>
      <c r="J303" s="44" t="s">
        <v>215</v>
      </c>
    </row>
    <row r="304" spans="1:10" x14ac:dyDescent="0.25">
      <c r="A304" s="40" t="s">
        <v>4</v>
      </c>
      <c r="B304" s="41">
        <v>120</v>
      </c>
      <c r="C304" s="42">
        <v>95</v>
      </c>
      <c r="D304" s="61" t="s">
        <v>216</v>
      </c>
      <c r="E304" s="41" t="s">
        <v>69</v>
      </c>
      <c r="F304" s="40" t="s">
        <v>58</v>
      </c>
      <c r="G304" s="44" t="s">
        <v>205</v>
      </c>
      <c r="H304" s="44" t="s">
        <v>37</v>
      </c>
      <c r="I304" s="44" t="s">
        <v>217</v>
      </c>
      <c r="J304" s="44" t="s">
        <v>218</v>
      </c>
    </row>
    <row r="305" spans="1:10" x14ac:dyDescent="0.25">
      <c r="A305" s="40" t="s">
        <v>4</v>
      </c>
      <c r="B305" s="41">
        <v>120</v>
      </c>
      <c r="C305" s="42">
        <v>3</v>
      </c>
      <c r="D305" s="61" t="s">
        <v>219</v>
      </c>
      <c r="E305" s="41" t="s">
        <v>88</v>
      </c>
      <c r="F305" s="40" t="s">
        <v>128</v>
      </c>
      <c r="G305" s="44" t="s">
        <v>177</v>
      </c>
      <c r="H305" s="44" t="s">
        <v>65</v>
      </c>
      <c r="I305" s="44" t="s">
        <v>220</v>
      </c>
      <c r="J305" s="44" t="s">
        <v>221</v>
      </c>
    </row>
    <row r="306" spans="1:10" x14ac:dyDescent="0.25">
      <c r="A306" s="40" t="s">
        <v>4</v>
      </c>
      <c r="B306" s="41">
        <v>120</v>
      </c>
      <c r="C306" s="42">
        <v>76</v>
      </c>
      <c r="D306" s="61" t="s">
        <v>222</v>
      </c>
      <c r="E306" s="41" t="s">
        <v>69</v>
      </c>
      <c r="F306" s="40" t="s">
        <v>128</v>
      </c>
      <c r="G306" s="44" t="s">
        <v>223</v>
      </c>
      <c r="H306" s="44" t="s">
        <v>65</v>
      </c>
      <c r="I306" s="44" t="s">
        <v>155</v>
      </c>
      <c r="J306" s="44" t="s">
        <v>224</v>
      </c>
    </row>
    <row r="307" spans="1:10" x14ac:dyDescent="0.25">
      <c r="A307" s="40" t="s">
        <v>4</v>
      </c>
      <c r="B307" s="41">
        <v>120</v>
      </c>
      <c r="C307" s="42">
        <v>49</v>
      </c>
      <c r="D307" s="61" t="s">
        <v>225</v>
      </c>
      <c r="E307" s="41" t="s">
        <v>103</v>
      </c>
      <c r="F307" s="40" t="s">
        <v>58</v>
      </c>
      <c r="G307" s="44" t="s">
        <v>121</v>
      </c>
      <c r="H307" s="44" t="s">
        <v>65</v>
      </c>
      <c r="I307" s="44" t="s">
        <v>150</v>
      </c>
      <c r="J307" s="44" t="s">
        <v>226</v>
      </c>
    </row>
    <row r="308" spans="1:10" x14ac:dyDescent="0.25">
      <c r="A308" s="40" t="s">
        <v>4</v>
      </c>
      <c r="B308" s="41">
        <v>120</v>
      </c>
      <c r="C308" s="42">
        <v>66</v>
      </c>
      <c r="D308" s="61" t="s">
        <v>227</v>
      </c>
      <c r="E308" s="41" t="s">
        <v>103</v>
      </c>
      <c r="F308" s="40" t="s">
        <v>73</v>
      </c>
      <c r="G308" s="44" t="s">
        <v>137</v>
      </c>
      <c r="H308" s="44" t="s">
        <v>37</v>
      </c>
      <c r="I308" s="44" t="s">
        <v>173</v>
      </c>
      <c r="J308" s="44" t="s">
        <v>228</v>
      </c>
    </row>
    <row r="309" spans="1:10" x14ac:dyDescent="0.25">
      <c r="A309" s="40" t="s">
        <v>4</v>
      </c>
      <c r="B309" s="41">
        <v>120</v>
      </c>
      <c r="C309" s="42">
        <v>29</v>
      </c>
      <c r="D309" s="61" t="s">
        <v>231</v>
      </c>
      <c r="E309" s="41" t="s">
        <v>120</v>
      </c>
      <c r="F309" s="40" t="s">
        <v>82</v>
      </c>
      <c r="G309" s="44" t="s">
        <v>157</v>
      </c>
      <c r="H309" s="44" t="s">
        <v>230</v>
      </c>
      <c r="I309" s="44" t="s">
        <v>137</v>
      </c>
      <c r="J309" s="44" t="s">
        <v>232</v>
      </c>
    </row>
    <row r="310" spans="1:10" x14ac:dyDescent="0.25">
      <c r="A310" s="40" t="s">
        <v>4</v>
      </c>
      <c r="B310" s="41">
        <v>120</v>
      </c>
      <c r="C310" s="42">
        <v>46</v>
      </c>
      <c r="D310" s="61" t="s">
        <v>533</v>
      </c>
      <c r="E310" s="41">
        <v>2001</v>
      </c>
      <c r="F310" s="40" t="s">
        <v>73</v>
      </c>
      <c r="G310" s="69"/>
      <c r="H310" s="44">
        <v>195</v>
      </c>
      <c r="I310" s="69"/>
      <c r="J310" s="69"/>
    </row>
    <row r="311" spans="1:10" x14ac:dyDescent="0.25">
      <c r="A311" s="40" t="s">
        <v>324</v>
      </c>
      <c r="B311" s="41">
        <v>120</v>
      </c>
      <c r="C311" s="42">
        <v>92</v>
      </c>
      <c r="D311" s="61" t="s">
        <v>412</v>
      </c>
      <c r="E311" s="41">
        <v>2006</v>
      </c>
      <c r="F311" s="40" t="s">
        <v>73</v>
      </c>
      <c r="G311" s="44">
        <v>310</v>
      </c>
      <c r="H311" s="44">
        <v>184</v>
      </c>
      <c r="I311" s="44">
        <v>307.5</v>
      </c>
      <c r="J311" s="44">
        <v>801.5</v>
      </c>
    </row>
    <row r="312" spans="1:10" x14ac:dyDescent="0.25">
      <c r="A312" s="40" t="s">
        <v>324</v>
      </c>
      <c r="B312" s="41">
        <v>120</v>
      </c>
      <c r="C312" s="42">
        <v>84</v>
      </c>
      <c r="D312" s="61" t="s">
        <v>413</v>
      </c>
      <c r="E312" s="41" t="s">
        <v>7</v>
      </c>
      <c r="F312" s="40" t="s">
        <v>128</v>
      </c>
      <c r="G312" s="44" t="s">
        <v>112</v>
      </c>
      <c r="H312" s="44" t="s">
        <v>117</v>
      </c>
      <c r="I312" s="44" t="s">
        <v>242</v>
      </c>
      <c r="J312" s="44" t="s">
        <v>414</v>
      </c>
    </row>
    <row r="313" spans="1:10" x14ac:dyDescent="0.25">
      <c r="A313" s="40" t="s">
        <v>324</v>
      </c>
      <c r="B313" s="41">
        <v>120</v>
      </c>
      <c r="C313" s="42">
        <v>67</v>
      </c>
      <c r="D313" s="61" t="s">
        <v>415</v>
      </c>
      <c r="E313" s="41" t="s">
        <v>34</v>
      </c>
      <c r="F313" s="40" t="s">
        <v>89</v>
      </c>
      <c r="G313" s="44" t="s">
        <v>107</v>
      </c>
      <c r="H313" s="44" t="s">
        <v>176</v>
      </c>
      <c r="I313" s="44" t="s">
        <v>220</v>
      </c>
      <c r="J313" s="44" t="s">
        <v>416</v>
      </c>
    </row>
    <row r="314" spans="1:10" x14ac:dyDescent="0.25">
      <c r="A314" s="40" t="s">
        <v>324</v>
      </c>
      <c r="B314" s="41">
        <v>120</v>
      </c>
      <c r="C314" s="42">
        <v>35</v>
      </c>
      <c r="D314" s="61" t="s">
        <v>417</v>
      </c>
      <c r="E314" s="41" t="s">
        <v>7</v>
      </c>
      <c r="F314" s="40" t="s">
        <v>58</v>
      </c>
      <c r="G314" s="44" t="s">
        <v>121</v>
      </c>
      <c r="H314" s="44" t="s">
        <v>74</v>
      </c>
      <c r="I314" s="44" t="s">
        <v>91</v>
      </c>
      <c r="J314" s="44" t="s">
        <v>234</v>
      </c>
    </row>
    <row r="315" spans="1:10" x14ac:dyDescent="0.25">
      <c r="A315" s="40" t="s">
        <v>324</v>
      </c>
      <c r="B315" s="41">
        <v>120</v>
      </c>
      <c r="C315" s="42">
        <v>19</v>
      </c>
      <c r="D315" s="61" t="s">
        <v>418</v>
      </c>
      <c r="E315" s="41" t="s">
        <v>34</v>
      </c>
      <c r="F315" s="40" t="s">
        <v>58</v>
      </c>
      <c r="G315" s="44" t="s">
        <v>142</v>
      </c>
      <c r="H315" s="44" t="s">
        <v>132</v>
      </c>
      <c r="I315" s="44" t="s">
        <v>157</v>
      </c>
      <c r="J315" s="44" t="s">
        <v>419</v>
      </c>
    </row>
    <row r="316" spans="1:10" x14ac:dyDescent="0.25">
      <c r="A316" s="40" t="s">
        <v>324</v>
      </c>
      <c r="B316" s="41">
        <v>105</v>
      </c>
      <c r="C316" s="42">
        <v>67</v>
      </c>
      <c r="D316" s="61" t="s">
        <v>415</v>
      </c>
      <c r="E316" s="41" t="s">
        <v>34</v>
      </c>
      <c r="F316" s="40" t="s">
        <v>89</v>
      </c>
      <c r="G316" s="69"/>
      <c r="H316" s="41" t="s">
        <v>326</v>
      </c>
      <c r="I316" s="69"/>
      <c r="J316" s="69"/>
    </row>
    <row r="317" spans="1:10" x14ac:dyDescent="0.25">
      <c r="A317" s="40" t="s">
        <v>324</v>
      </c>
      <c r="B317" s="41"/>
      <c r="C317" s="42">
        <v>15</v>
      </c>
      <c r="D317" s="61" t="s">
        <v>929</v>
      </c>
      <c r="E317" s="41">
        <v>2003</v>
      </c>
      <c r="F317" s="40" t="s">
        <v>89</v>
      </c>
      <c r="G317" s="69"/>
      <c r="H317" s="44">
        <v>140</v>
      </c>
      <c r="I317" s="69"/>
      <c r="J317" s="69"/>
    </row>
    <row r="318" spans="1:10" x14ac:dyDescent="0.25">
      <c r="A318" s="40" t="s">
        <v>911</v>
      </c>
      <c r="B318" s="41">
        <v>120</v>
      </c>
      <c r="C318" s="42">
        <v>6</v>
      </c>
      <c r="D318" s="61" t="s">
        <v>317</v>
      </c>
      <c r="E318" s="41" t="s">
        <v>246</v>
      </c>
      <c r="F318" s="40" t="s">
        <v>89</v>
      </c>
      <c r="G318" s="44" t="s">
        <v>107</v>
      </c>
      <c r="H318" s="44" t="s">
        <v>74</v>
      </c>
      <c r="I318" s="44" t="s">
        <v>26</v>
      </c>
      <c r="J318" s="44" t="s">
        <v>318</v>
      </c>
    </row>
    <row r="319" spans="1:10" x14ac:dyDescent="0.25">
      <c r="A319" s="40" t="s">
        <v>911</v>
      </c>
      <c r="B319" s="41">
        <v>120</v>
      </c>
      <c r="C319" s="42">
        <v>59</v>
      </c>
      <c r="D319" s="61" t="s">
        <v>319</v>
      </c>
      <c r="E319" s="41" t="s">
        <v>246</v>
      </c>
      <c r="F319" s="40" t="s">
        <v>89</v>
      </c>
      <c r="G319" s="44" t="s">
        <v>320</v>
      </c>
      <c r="H319" s="44" t="s">
        <v>99</v>
      </c>
      <c r="I319" s="44" t="s">
        <v>321</v>
      </c>
      <c r="J319" s="44" t="s">
        <v>322</v>
      </c>
    </row>
    <row r="320" spans="1:10" s="22" customFormat="1" x14ac:dyDescent="0.25">
      <c r="A320" s="28"/>
      <c r="B320" s="28"/>
      <c r="C320" s="28"/>
      <c r="D320" s="38" t="s">
        <v>940</v>
      </c>
      <c r="E320" s="28"/>
      <c r="F320" s="28"/>
      <c r="G320" s="29"/>
      <c r="H320" s="29"/>
      <c r="I320" s="29"/>
      <c r="J320" s="29"/>
    </row>
    <row r="321" spans="1:12" s="22" customFormat="1" x14ac:dyDescent="0.25">
      <c r="A321" s="28"/>
      <c r="B321" s="28"/>
      <c r="C321" s="28"/>
      <c r="D321" s="38" t="s">
        <v>912</v>
      </c>
      <c r="E321" s="28"/>
      <c r="F321" s="28"/>
      <c r="G321" s="29"/>
      <c r="H321" s="29"/>
      <c r="I321" s="29"/>
      <c r="J321" s="29"/>
    </row>
    <row r="322" spans="1:12" x14ac:dyDescent="0.25">
      <c r="A322" s="40" t="s">
        <v>883</v>
      </c>
      <c r="B322" s="41">
        <v>120</v>
      </c>
      <c r="C322" s="42">
        <v>70</v>
      </c>
      <c r="D322" s="61" t="s">
        <v>466</v>
      </c>
      <c r="E322" s="41" t="s">
        <v>447</v>
      </c>
      <c r="F322" s="40" t="s">
        <v>89</v>
      </c>
      <c r="G322" s="44" t="s">
        <v>155</v>
      </c>
      <c r="H322" s="44" t="s">
        <v>65</v>
      </c>
      <c r="I322" s="44" t="s">
        <v>107</v>
      </c>
      <c r="J322" s="44" t="s">
        <v>390</v>
      </c>
    </row>
    <row r="323" spans="1:12" x14ac:dyDescent="0.25">
      <c r="A323" s="40" t="s">
        <v>884</v>
      </c>
      <c r="B323" s="41">
        <v>120</v>
      </c>
      <c r="C323" s="42">
        <v>53</v>
      </c>
      <c r="D323" s="61" t="s">
        <v>500</v>
      </c>
      <c r="E323" s="41" t="s">
        <v>478</v>
      </c>
      <c r="F323" s="40" t="s">
        <v>141</v>
      </c>
      <c r="G323" s="44" t="s">
        <v>142</v>
      </c>
      <c r="H323" s="44" t="s">
        <v>348</v>
      </c>
      <c r="I323" s="44" t="s">
        <v>107</v>
      </c>
      <c r="J323" s="44" t="s">
        <v>113</v>
      </c>
      <c r="L323" s="21" t="str">
        <f xml:space="preserve"> PROPER(K323)</f>
        <v/>
      </c>
    </row>
    <row r="324" spans="1:12" x14ac:dyDescent="0.25">
      <c r="A324" s="40" t="s">
        <v>884</v>
      </c>
      <c r="B324" s="41">
        <v>120</v>
      </c>
      <c r="C324" s="42">
        <v>75</v>
      </c>
      <c r="D324" s="61" t="s">
        <v>501</v>
      </c>
      <c r="E324" s="41" t="s">
        <v>475</v>
      </c>
      <c r="F324" s="40" t="s">
        <v>82</v>
      </c>
      <c r="G324" s="44" t="s">
        <v>83</v>
      </c>
      <c r="H324" s="44" t="s">
        <v>84</v>
      </c>
      <c r="I324" s="44" t="s">
        <v>116</v>
      </c>
      <c r="J324" s="44" t="s">
        <v>194</v>
      </c>
    </row>
    <row r="325" spans="1:12" x14ac:dyDescent="0.25">
      <c r="A325" s="40" t="s">
        <v>875</v>
      </c>
      <c r="B325" s="41">
        <v>120</v>
      </c>
      <c r="C325" s="42">
        <v>37</v>
      </c>
      <c r="D325" s="61" t="s">
        <v>643</v>
      </c>
      <c r="E325" s="41" t="s">
        <v>14</v>
      </c>
      <c r="F325" s="40" t="s">
        <v>644</v>
      </c>
      <c r="G325" s="44" t="s">
        <v>150</v>
      </c>
      <c r="H325" s="44" t="s">
        <v>421</v>
      </c>
      <c r="I325" s="44" t="s">
        <v>153</v>
      </c>
      <c r="J325" s="44" t="s">
        <v>645</v>
      </c>
    </row>
    <row r="326" spans="1:12" x14ac:dyDescent="0.25">
      <c r="A326" s="40"/>
      <c r="B326" s="41"/>
      <c r="C326" s="42"/>
      <c r="D326" s="33" t="s">
        <v>913</v>
      </c>
      <c r="E326" s="41"/>
      <c r="F326" s="40"/>
      <c r="G326" s="44"/>
      <c r="H326" s="44"/>
      <c r="I326" s="44"/>
      <c r="J326" s="44"/>
    </row>
    <row r="327" spans="1:12" x14ac:dyDescent="0.25">
      <c r="A327" s="40" t="s">
        <v>4</v>
      </c>
      <c r="B327" s="41">
        <v>121</v>
      </c>
      <c r="C327" s="42">
        <v>89</v>
      </c>
      <c r="D327" s="61" t="s">
        <v>235</v>
      </c>
      <c r="E327" s="41" t="s">
        <v>64</v>
      </c>
      <c r="F327" s="40" t="s">
        <v>73</v>
      </c>
      <c r="G327" s="44" t="s">
        <v>236</v>
      </c>
      <c r="H327" s="44" t="s">
        <v>56</v>
      </c>
      <c r="I327" s="44" t="s">
        <v>150</v>
      </c>
      <c r="J327" s="44" t="s">
        <v>237</v>
      </c>
    </row>
    <row r="328" spans="1:12" x14ac:dyDescent="0.25">
      <c r="A328" s="40" t="s">
        <v>4</v>
      </c>
      <c r="B328" s="41">
        <v>121</v>
      </c>
      <c r="C328" s="42">
        <v>40</v>
      </c>
      <c r="D328" s="61" t="s">
        <v>238</v>
      </c>
      <c r="E328" s="41" t="s">
        <v>81</v>
      </c>
      <c r="F328" s="40" t="s">
        <v>89</v>
      </c>
      <c r="G328" s="44" t="s">
        <v>239</v>
      </c>
      <c r="H328" s="44" t="s">
        <v>83</v>
      </c>
      <c r="I328" s="44" t="s">
        <v>200</v>
      </c>
      <c r="J328" s="44" t="s">
        <v>240</v>
      </c>
    </row>
    <row r="329" spans="1:12" x14ac:dyDescent="0.25">
      <c r="A329" s="40" t="s">
        <v>4</v>
      </c>
      <c r="B329" s="41">
        <v>121</v>
      </c>
      <c r="C329" s="42">
        <v>47</v>
      </c>
      <c r="D329" s="61" t="s">
        <v>241</v>
      </c>
      <c r="E329" s="41" t="s">
        <v>145</v>
      </c>
      <c r="F329" s="40" t="s">
        <v>89</v>
      </c>
      <c r="G329" s="44" t="s">
        <v>242</v>
      </c>
      <c r="H329" s="44" t="s">
        <v>140</v>
      </c>
      <c r="I329" s="44" t="s">
        <v>12</v>
      </c>
      <c r="J329" s="44" t="s">
        <v>243</v>
      </c>
    </row>
    <row r="330" spans="1:12" x14ac:dyDescent="0.25">
      <c r="A330" s="40" t="s">
        <v>4</v>
      </c>
      <c r="B330" s="41">
        <v>121</v>
      </c>
      <c r="C330" s="42">
        <v>40</v>
      </c>
      <c r="D330" s="61" t="s">
        <v>238</v>
      </c>
      <c r="E330" s="41" t="s">
        <v>81</v>
      </c>
      <c r="F330" s="40" t="s">
        <v>89</v>
      </c>
      <c r="G330" s="69"/>
      <c r="H330" s="41" t="s">
        <v>140</v>
      </c>
      <c r="I330" s="69"/>
      <c r="J330" s="69"/>
    </row>
    <row r="331" spans="1:12" x14ac:dyDescent="0.25">
      <c r="A331" s="40" t="s">
        <v>4</v>
      </c>
      <c r="B331" s="41">
        <v>121</v>
      </c>
      <c r="C331" s="42">
        <v>82</v>
      </c>
      <c r="D331" s="61" t="s">
        <v>534</v>
      </c>
      <c r="E331" s="41" t="s">
        <v>103</v>
      </c>
      <c r="F331" s="40" t="s">
        <v>58</v>
      </c>
      <c r="G331" s="69"/>
      <c r="H331" s="41" t="s">
        <v>59</v>
      </c>
      <c r="I331" s="69"/>
      <c r="J331" s="69"/>
    </row>
    <row r="332" spans="1:12" x14ac:dyDescent="0.25">
      <c r="A332" s="40" t="s">
        <v>4</v>
      </c>
      <c r="B332" s="41">
        <v>121</v>
      </c>
      <c r="C332" s="42">
        <v>42</v>
      </c>
      <c r="D332" s="61" t="s">
        <v>535</v>
      </c>
      <c r="E332" s="41">
        <v>1998</v>
      </c>
      <c r="F332" s="40" t="s">
        <v>73</v>
      </c>
      <c r="G332" s="69"/>
      <c r="H332" s="44">
        <v>140</v>
      </c>
      <c r="I332" s="69"/>
      <c r="J332" s="69"/>
    </row>
    <row r="333" spans="1:12" x14ac:dyDescent="0.25">
      <c r="A333" s="40" t="s">
        <v>324</v>
      </c>
      <c r="B333" s="41">
        <v>121</v>
      </c>
      <c r="C333" s="42">
        <v>81</v>
      </c>
      <c r="D333" s="61" t="s">
        <v>420</v>
      </c>
      <c r="E333" s="41" t="s">
        <v>34</v>
      </c>
      <c r="F333" s="40" t="s">
        <v>89</v>
      </c>
      <c r="G333" s="44" t="s">
        <v>217</v>
      </c>
      <c r="H333" s="44" t="s">
        <v>421</v>
      </c>
      <c r="I333" s="44" t="s">
        <v>422</v>
      </c>
      <c r="J333" s="44" t="s">
        <v>423</v>
      </c>
      <c r="L333" s="21" t="str">
        <f>PROPER(K333)</f>
        <v/>
      </c>
    </row>
    <row r="334" spans="1:12" x14ac:dyDescent="0.25">
      <c r="A334" s="40" t="s">
        <v>324</v>
      </c>
      <c r="B334" s="41">
        <v>121</v>
      </c>
      <c r="C334" s="42">
        <v>34</v>
      </c>
      <c r="D334" s="61" t="s">
        <v>424</v>
      </c>
      <c r="E334" s="41" t="s">
        <v>7</v>
      </c>
      <c r="F334" s="40" t="s">
        <v>109</v>
      </c>
      <c r="G334" s="44" t="s">
        <v>137</v>
      </c>
      <c r="H334" s="44" t="s">
        <v>65</v>
      </c>
      <c r="I334" s="44" t="s">
        <v>137</v>
      </c>
      <c r="J334" s="44" t="s">
        <v>390</v>
      </c>
    </row>
    <row r="335" spans="1:12" x14ac:dyDescent="0.25">
      <c r="A335" s="40" t="s">
        <v>324</v>
      </c>
      <c r="B335" s="41">
        <v>121</v>
      </c>
      <c r="C335" s="42">
        <v>32</v>
      </c>
      <c r="D335" s="61" t="s">
        <v>425</v>
      </c>
      <c r="E335" s="41" t="s">
        <v>7</v>
      </c>
      <c r="F335" s="40" t="s">
        <v>104</v>
      </c>
      <c r="G335" s="44" t="s">
        <v>371</v>
      </c>
      <c r="H335" s="44" t="s">
        <v>132</v>
      </c>
      <c r="I335" s="44" t="s">
        <v>137</v>
      </c>
      <c r="J335" s="44" t="s">
        <v>419</v>
      </c>
    </row>
    <row r="336" spans="1:12" x14ac:dyDescent="0.25">
      <c r="A336" s="40" t="s">
        <v>324</v>
      </c>
      <c r="B336" s="41">
        <v>121</v>
      </c>
      <c r="C336" s="42">
        <v>17</v>
      </c>
      <c r="D336" s="61" t="s">
        <v>426</v>
      </c>
      <c r="E336" s="41">
        <v>2005</v>
      </c>
      <c r="F336" s="40" t="s">
        <v>73</v>
      </c>
      <c r="G336" s="44">
        <v>220</v>
      </c>
      <c r="H336" s="44">
        <v>130</v>
      </c>
      <c r="I336" s="44">
        <v>240</v>
      </c>
      <c r="J336" s="44">
        <v>590</v>
      </c>
    </row>
    <row r="337" spans="1:10" x14ac:dyDescent="0.25">
      <c r="A337" s="40" t="s">
        <v>911</v>
      </c>
      <c r="B337" s="41">
        <v>120</v>
      </c>
      <c r="C337" s="42">
        <v>96</v>
      </c>
      <c r="D337" s="61" t="s">
        <v>323</v>
      </c>
      <c r="E337" s="41">
        <v>2008</v>
      </c>
      <c r="F337" s="40" t="s">
        <v>73</v>
      </c>
      <c r="G337" s="44">
        <v>165</v>
      </c>
      <c r="H337" s="44">
        <v>100</v>
      </c>
      <c r="I337" s="44">
        <v>165</v>
      </c>
      <c r="J337" s="44">
        <v>430</v>
      </c>
    </row>
    <row r="338" spans="1:10" x14ac:dyDescent="0.25">
      <c r="A338" s="40" t="s">
        <v>883</v>
      </c>
      <c r="B338" s="41" t="s">
        <v>882</v>
      </c>
      <c r="C338" s="42">
        <v>16</v>
      </c>
      <c r="D338" s="61" t="s">
        <v>547</v>
      </c>
      <c r="E338" s="41" t="s">
        <v>52</v>
      </c>
      <c r="F338" s="40" t="s">
        <v>89</v>
      </c>
      <c r="G338" s="69"/>
      <c r="H338" s="41" t="s">
        <v>146</v>
      </c>
      <c r="I338" s="69"/>
      <c r="J338" s="69"/>
    </row>
    <row r="339" spans="1:10" x14ac:dyDescent="0.25">
      <c r="A339" s="40" t="s">
        <v>884</v>
      </c>
      <c r="B339" s="41">
        <v>121</v>
      </c>
      <c r="C339" s="42">
        <v>52</v>
      </c>
      <c r="D339" s="61" t="s">
        <v>550</v>
      </c>
      <c r="E339" s="41" t="s">
        <v>488</v>
      </c>
      <c r="F339" s="40" t="s">
        <v>89</v>
      </c>
      <c r="G339" s="69"/>
      <c r="H339" s="41" t="s">
        <v>11</v>
      </c>
      <c r="I339" s="69"/>
      <c r="J339" s="69"/>
    </row>
    <row r="340" spans="1:10" x14ac:dyDescent="0.25">
      <c r="A340" s="40" t="s">
        <v>875</v>
      </c>
      <c r="B340" s="41">
        <v>120</v>
      </c>
      <c r="C340" s="42">
        <v>71</v>
      </c>
      <c r="D340" s="61" t="s">
        <v>646</v>
      </c>
      <c r="E340" s="41" t="s">
        <v>14</v>
      </c>
      <c r="F340" s="40" t="s">
        <v>40</v>
      </c>
      <c r="G340" s="44" t="s">
        <v>155</v>
      </c>
      <c r="H340" s="44" t="s">
        <v>647</v>
      </c>
      <c r="I340" s="44" t="s">
        <v>205</v>
      </c>
      <c r="J340" s="44" t="s">
        <v>181</v>
      </c>
    </row>
    <row r="341" spans="1:10" x14ac:dyDescent="0.25">
      <c r="A341" s="40" t="s">
        <v>875</v>
      </c>
      <c r="B341" s="41">
        <v>120</v>
      </c>
      <c r="C341" s="42">
        <v>41</v>
      </c>
      <c r="D341" s="61" t="s">
        <v>648</v>
      </c>
      <c r="E341" s="41">
        <v>2001</v>
      </c>
      <c r="F341" s="40" t="s">
        <v>881</v>
      </c>
      <c r="G341" s="44">
        <v>255</v>
      </c>
      <c r="H341" s="44">
        <v>130</v>
      </c>
      <c r="I341" s="44">
        <v>250</v>
      </c>
      <c r="J341" s="44">
        <v>635</v>
      </c>
    </row>
    <row r="342" spans="1:10" x14ac:dyDescent="0.25">
      <c r="C342" s="58"/>
    </row>
    <row r="343" spans="1:10" x14ac:dyDescent="0.25">
      <c r="C343" s="58"/>
    </row>
    <row r="344" spans="1:10" x14ac:dyDescent="0.25">
      <c r="C344" s="58"/>
    </row>
    <row r="345" spans="1:10" x14ac:dyDescent="0.25">
      <c r="C345" s="58"/>
    </row>
    <row r="346" spans="1:10" x14ac:dyDescent="0.25">
      <c r="C346" s="58"/>
    </row>
    <row r="347" spans="1:10" x14ac:dyDescent="0.25">
      <c r="C347" s="58"/>
    </row>
    <row r="348" spans="1:10" x14ac:dyDescent="0.25">
      <c r="C348" s="58"/>
    </row>
    <row r="349" spans="1:10" x14ac:dyDescent="0.25">
      <c r="C349" s="58"/>
    </row>
    <row r="350" spans="1:10" x14ac:dyDescent="0.25">
      <c r="C350" s="58"/>
    </row>
    <row r="351" spans="1:10" x14ac:dyDescent="0.25">
      <c r="C351" s="58"/>
    </row>
    <row r="352" spans="1:10" x14ac:dyDescent="0.25">
      <c r="C352" s="58"/>
    </row>
    <row r="353" spans="3:3" x14ac:dyDescent="0.25">
      <c r="C353" s="58"/>
    </row>
    <row r="354" spans="3:3" x14ac:dyDescent="0.25">
      <c r="C354" s="58"/>
    </row>
    <row r="355" spans="3:3" x14ac:dyDescent="0.25">
      <c r="C355" s="58"/>
    </row>
    <row r="356" spans="3:3" x14ac:dyDescent="0.25">
      <c r="C356" s="58"/>
    </row>
    <row r="357" spans="3:3" x14ac:dyDescent="0.25">
      <c r="C357" s="58"/>
    </row>
    <row r="358" spans="3:3" x14ac:dyDescent="0.25">
      <c r="C358" s="58"/>
    </row>
    <row r="359" spans="3:3" x14ac:dyDescent="0.25">
      <c r="C359" s="58"/>
    </row>
    <row r="360" spans="3:3" x14ac:dyDescent="0.25">
      <c r="C360" s="58"/>
    </row>
    <row r="361" spans="3:3" x14ac:dyDescent="0.25">
      <c r="C361" s="58"/>
    </row>
    <row r="362" spans="3:3" x14ac:dyDescent="0.25">
      <c r="C362" s="58"/>
    </row>
    <row r="363" spans="3:3" x14ac:dyDescent="0.25">
      <c r="C363" s="58"/>
    </row>
    <row r="364" spans="3:3" x14ac:dyDescent="0.25">
      <c r="C364" s="58"/>
    </row>
    <row r="365" spans="3:3" x14ac:dyDescent="0.25">
      <c r="C365" s="58"/>
    </row>
    <row r="366" spans="3:3" x14ac:dyDescent="0.25">
      <c r="C366" s="58"/>
    </row>
    <row r="367" spans="3:3" x14ac:dyDescent="0.25">
      <c r="C367" s="58"/>
    </row>
    <row r="368" spans="3:3" x14ac:dyDescent="0.25">
      <c r="C368" s="58"/>
    </row>
    <row r="369" spans="3:3" x14ac:dyDescent="0.25">
      <c r="C369" s="58"/>
    </row>
    <row r="370" spans="3:3" x14ac:dyDescent="0.25">
      <c r="C370" s="58"/>
    </row>
    <row r="371" spans="3:3" x14ac:dyDescent="0.25">
      <c r="C371" s="58"/>
    </row>
    <row r="372" spans="3:3" x14ac:dyDescent="0.25">
      <c r="C372" s="58"/>
    </row>
    <row r="373" spans="3:3" x14ac:dyDescent="0.25">
      <c r="C373" s="58"/>
    </row>
    <row r="374" spans="3:3" x14ac:dyDescent="0.25">
      <c r="C374" s="58"/>
    </row>
    <row r="375" spans="3:3" x14ac:dyDescent="0.25">
      <c r="C375" s="58"/>
    </row>
    <row r="376" spans="3:3" x14ac:dyDescent="0.25">
      <c r="C376" s="58"/>
    </row>
  </sheetData>
  <sortState ref="A7:J342">
    <sortCondition ref="B7:B342"/>
    <sortCondition ref="A7:A342"/>
    <sortCondition descending="1" ref="J7:J342"/>
    <sortCondition descending="1" ref="H7:H342"/>
  </sortState>
  <mergeCells count="40">
    <mergeCell ref="A1:J1"/>
    <mergeCell ref="A2:J2"/>
    <mergeCell ref="A3:J3"/>
    <mergeCell ref="A4:J4"/>
    <mergeCell ref="A22:J22"/>
    <mergeCell ref="A23:J23"/>
    <mergeCell ref="A24:J24"/>
    <mergeCell ref="A25:J25"/>
    <mergeCell ref="A59:J59"/>
    <mergeCell ref="A60:J60"/>
    <mergeCell ref="A61:J61"/>
    <mergeCell ref="A62:J62"/>
    <mergeCell ref="A95:J95"/>
    <mergeCell ref="A96:J96"/>
    <mergeCell ref="A97:J97"/>
    <mergeCell ref="A98:J98"/>
    <mergeCell ref="A126:J126"/>
    <mergeCell ref="A127:J127"/>
    <mergeCell ref="A128:J128"/>
    <mergeCell ref="A129:J129"/>
    <mergeCell ref="A164:J164"/>
    <mergeCell ref="A165:J165"/>
    <mergeCell ref="A166:J166"/>
    <mergeCell ref="A167:J167"/>
    <mergeCell ref="A194:J194"/>
    <mergeCell ref="A195:J195"/>
    <mergeCell ref="A196:J196"/>
    <mergeCell ref="A197:J197"/>
    <mergeCell ref="A214:J214"/>
    <mergeCell ref="A215:J215"/>
    <mergeCell ref="A216:J216"/>
    <mergeCell ref="A217:J217"/>
    <mergeCell ref="A253:J253"/>
    <mergeCell ref="A254:J254"/>
    <mergeCell ref="A299:J299"/>
    <mergeCell ref="A255:J255"/>
    <mergeCell ref="A256:J256"/>
    <mergeCell ref="A296:J296"/>
    <mergeCell ref="A297:J297"/>
    <mergeCell ref="A298:J298"/>
  </mergeCells>
  <phoneticPr fontId="4" type="noConversion"/>
  <printOptions horizontalCentered="1"/>
  <pageMargins left="0.19685039370078741" right="0.19685039370078741" top="0.39370078740157483" bottom="0.39370078740157483" header="0" footer="0"/>
  <pageSetup paperSize="9" orientation="portrait" r:id="rId1"/>
  <rowBreaks count="9" manualBreakCount="9">
    <brk id="21" max="9" man="1"/>
    <brk id="58" max="9" man="1"/>
    <brk id="94" max="9" man="1"/>
    <brk id="125" max="9" man="1"/>
    <brk id="163" max="9" man="1"/>
    <brk id="193" max="9" man="1"/>
    <brk id="213" max="9" man="1"/>
    <brk id="252" max="9" man="1"/>
    <brk id="295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1"/>
  <sheetViews>
    <sheetView tabSelected="1" view="pageBreakPreview" topLeftCell="A66" zoomScaleNormal="120" zoomScaleSheetLayoutView="100" workbookViewId="0">
      <selection activeCell="D76" sqref="D76"/>
    </sheetView>
  </sheetViews>
  <sheetFormatPr defaultColWidth="9.140625" defaultRowHeight="15" x14ac:dyDescent="0.25"/>
  <cols>
    <col min="1" max="1" width="7.7109375" style="21" customWidth="1"/>
    <col min="2" max="2" width="8.7109375" style="21" hidden="1" customWidth="1"/>
    <col min="3" max="3" width="6.7109375" style="21" customWidth="1"/>
    <col min="4" max="4" width="30.7109375" style="21" customWidth="1"/>
    <col min="5" max="5" width="7.7109375" style="21" customWidth="1"/>
    <col min="6" max="6" width="15.7109375" style="21" customWidth="1"/>
    <col min="7" max="10" width="7.7109375" style="59" customWidth="1"/>
    <col min="11" max="16384" width="9.140625" style="21"/>
  </cols>
  <sheetData>
    <row r="1" spans="1:10" x14ac:dyDescent="0.25">
      <c r="A1" s="75" t="s">
        <v>959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8" t="s">
        <v>937</v>
      </c>
      <c r="B2" s="78"/>
      <c r="C2" s="78"/>
      <c r="D2" s="78"/>
      <c r="E2" s="78"/>
      <c r="F2" s="78"/>
      <c r="G2" s="78"/>
      <c r="H2" s="78"/>
      <c r="I2" s="78"/>
      <c r="J2" s="78"/>
    </row>
    <row r="3" spans="1:10" x14ac:dyDescent="0.25">
      <c r="A3" s="78" t="s">
        <v>935</v>
      </c>
      <c r="B3" s="78"/>
      <c r="C3" s="78"/>
      <c r="D3" s="78"/>
      <c r="E3" s="78"/>
      <c r="F3" s="78"/>
      <c r="G3" s="78"/>
      <c r="H3" s="78"/>
      <c r="I3" s="78"/>
      <c r="J3" s="78"/>
    </row>
    <row r="4" spans="1:10" s="22" customFormat="1" x14ac:dyDescent="0.25">
      <c r="A4" s="77" t="s">
        <v>936</v>
      </c>
      <c r="B4" s="77"/>
      <c r="C4" s="77"/>
      <c r="D4" s="77"/>
      <c r="E4" s="77"/>
      <c r="F4" s="77"/>
      <c r="G4" s="77"/>
      <c r="H4" s="77"/>
      <c r="I4" s="77"/>
      <c r="J4" s="77"/>
    </row>
    <row r="5" spans="1:10" x14ac:dyDescent="0.25">
      <c r="A5" s="30" t="s">
        <v>0</v>
      </c>
      <c r="B5" s="30" t="s">
        <v>1</v>
      </c>
      <c r="C5" s="30" t="s">
        <v>931</v>
      </c>
      <c r="D5" s="37" t="s">
        <v>889</v>
      </c>
      <c r="E5" s="30" t="s">
        <v>890</v>
      </c>
      <c r="F5" s="30" t="s">
        <v>891</v>
      </c>
      <c r="G5" s="32" t="s">
        <v>874</v>
      </c>
      <c r="H5" s="32" t="s">
        <v>887</v>
      </c>
      <c r="I5" s="32" t="s">
        <v>888</v>
      </c>
      <c r="J5" s="32" t="s">
        <v>3</v>
      </c>
    </row>
    <row r="6" spans="1:10" s="22" customFormat="1" ht="15" customHeight="1" x14ac:dyDescent="0.25">
      <c r="A6" s="28"/>
      <c r="B6" s="28"/>
      <c r="C6" s="28"/>
      <c r="D6" s="38" t="s">
        <v>939</v>
      </c>
      <c r="E6" s="28"/>
      <c r="F6" s="28"/>
      <c r="G6" s="29"/>
      <c r="H6" s="29"/>
      <c r="I6" s="29"/>
      <c r="J6" s="29"/>
    </row>
    <row r="7" spans="1:10" s="22" customFormat="1" x14ac:dyDescent="0.25">
      <c r="A7" s="28"/>
      <c r="B7" s="28"/>
      <c r="C7" s="28"/>
      <c r="D7" s="39" t="s">
        <v>893</v>
      </c>
      <c r="E7" s="28"/>
      <c r="F7" s="28"/>
      <c r="G7" s="29"/>
      <c r="H7" s="29"/>
      <c r="I7" s="29"/>
      <c r="J7" s="29"/>
    </row>
    <row r="8" spans="1:10" x14ac:dyDescent="0.25">
      <c r="A8" s="40" t="s">
        <v>324</v>
      </c>
      <c r="B8" s="41">
        <v>43</v>
      </c>
      <c r="C8" s="42">
        <v>62</v>
      </c>
      <c r="D8" s="43" t="s">
        <v>797</v>
      </c>
      <c r="E8" s="41" t="s">
        <v>45</v>
      </c>
      <c r="F8" s="40" t="s">
        <v>82</v>
      </c>
      <c r="G8" s="44" t="s">
        <v>256</v>
      </c>
      <c r="H8" s="44" t="s">
        <v>649</v>
      </c>
      <c r="I8" s="44" t="s">
        <v>268</v>
      </c>
      <c r="J8" s="44" t="s">
        <v>173</v>
      </c>
    </row>
    <row r="9" spans="1:10" x14ac:dyDescent="0.25">
      <c r="A9" s="40" t="s">
        <v>892</v>
      </c>
      <c r="B9" s="41">
        <v>43</v>
      </c>
      <c r="C9" s="42">
        <v>30</v>
      </c>
      <c r="D9" s="43" t="s">
        <v>767</v>
      </c>
      <c r="E9" s="41" t="s">
        <v>265</v>
      </c>
      <c r="F9" s="40" t="s">
        <v>53</v>
      </c>
      <c r="G9" s="44" t="s">
        <v>768</v>
      </c>
      <c r="H9" s="44" t="s">
        <v>769</v>
      </c>
      <c r="I9" s="44" t="s">
        <v>66</v>
      </c>
      <c r="J9" s="44" t="s">
        <v>770</v>
      </c>
    </row>
    <row r="10" spans="1:10" x14ac:dyDescent="0.25">
      <c r="A10" s="40" t="s">
        <v>892</v>
      </c>
      <c r="B10" s="41">
        <v>43</v>
      </c>
      <c r="C10" s="42">
        <v>63</v>
      </c>
      <c r="D10" s="43" t="s">
        <v>675</v>
      </c>
      <c r="E10" s="41" t="s">
        <v>246</v>
      </c>
      <c r="F10" s="40" t="s">
        <v>128</v>
      </c>
      <c r="G10" s="44" t="s">
        <v>771</v>
      </c>
      <c r="H10" s="44" t="s">
        <v>676</v>
      </c>
      <c r="I10" s="44" t="s">
        <v>772</v>
      </c>
      <c r="J10" s="44" t="s">
        <v>773</v>
      </c>
    </row>
    <row r="11" spans="1:10" x14ac:dyDescent="0.25">
      <c r="A11" s="40" t="s">
        <v>892</v>
      </c>
      <c r="B11" s="41">
        <v>43</v>
      </c>
      <c r="C11" s="42">
        <v>44</v>
      </c>
      <c r="D11" s="43" t="s">
        <v>675</v>
      </c>
      <c r="E11" s="41" t="s">
        <v>246</v>
      </c>
      <c r="F11" s="40" t="s">
        <v>128</v>
      </c>
      <c r="G11" s="41"/>
      <c r="H11" s="41" t="s">
        <v>676</v>
      </c>
      <c r="I11" s="41"/>
      <c r="J11" s="41"/>
    </row>
    <row r="12" spans="1:10" x14ac:dyDescent="0.25">
      <c r="A12" s="40"/>
      <c r="B12" s="41"/>
      <c r="C12" s="42"/>
      <c r="D12" s="39" t="s">
        <v>894</v>
      </c>
      <c r="E12" s="41"/>
      <c r="F12" s="40"/>
      <c r="G12" s="41"/>
      <c r="H12" s="41"/>
      <c r="I12" s="41"/>
      <c r="J12" s="41"/>
    </row>
    <row r="13" spans="1:10" x14ac:dyDescent="0.25">
      <c r="A13" s="40" t="s">
        <v>4</v>
      </c>
      <c r="B13" s="41">
        <v>47</v>
      </c>
      <c r="C13" s="42">
        <v>4</v>
      </c>
      <c r="D13" s="43" t="s">
        <v>688</v>
      </c>
      <c r="E13" s="41" t="s">
        <v>145</v>
      </c>
      <c r="F13" s="40" t="s">
        <v>73</v>
      </c>
      <c r="G13" s="44" t="s">
        <v>689</v>
      </c>
      <c r="H13" s="44" t="s">
        <v>690</v>
      </c>
      <c r="I13" s="44" t="s">
        <v>161</v>
      </c>
      <c r="J13" s="44" t="s">
        <v>691</v>
      </c>
    </row>
    <row r="14" spans="1:10" x14ac:dyDescent="0.25">
      <c r="A14" s="40" t="s">
        <v>4</v>
      </c>
      <c r="B14" s="41">
        <v>47</v>
      </c>
      <c r="C14" s="42">
        <v>45</v>
      </c>
      <c r="D14" s="43" t="s">
        <v>692</v>
      </c>
      <c r="E14" s="41" t="s">
        <v>64</v>
      </c>
      <c r="F14" s="40" t="s">
        <v>82</v>
      </c>
      <c r="G14" s="44" t="s">
        <v>90</v>
      </c>
      <c r="H14" s="44" t="s">
        <v>10</v>
      </c>
      <c r="I14" s="44" t="s">
        <v>132</v>
      </c>
      <c r="J14" s="44" t="s">
        <v>693</v>
      </c>
    </row>
    <row r="15" spans="1:10" x14ac:dyDescent="0.25">
      <c r="A15" s="40" t="s">
        <v>4</v>
      </c>
      <c r="B15" s="41">
        <v>47</v>
      </c>
      <c r="C15" s="42">
        <v>73</v>
      </c>
      <c r="D15" s="43" t="s">
        <v>694</v>
      </c>
      <c r="E15" s="41" t="s">
        <v>69</v>
      </c>
      <c r="F15" s="40" t="s">
        <v>53</v>
      </c>
      <c r="G15" s="44" t="s">
        <v>274</v>
      </c>
      <c r="H15" s="44" t="s">
        <v>17</v>
      </c>
      <c r="I15" s="44" t="s">
        <v>132</v>
      </c>
      <c r="J15" s="44" t="s">
        <v>213</v>
      </c>
    </row>
    <row r="16" spans="1:10" x14ac:dyDescent="0.25">
      <c r="A16" s="40" t="s">
        <v>4</v>
      </c>
      <c r="B16" s="41">
        <v>47</v>
      </c>
      <c r="C16" s="42">
        <v>11</v>
      </c>
      <c r="D16" s="43" t="s">
        <v>695</v>
      </c>
      <c r="E16" s="41" t="s">
        <v>88</v>
      </c>
      <c r="F16" s="40" t="s">
        <v>135</v>
      </c>
      <c r="G16" s="44" t="s">
        <v>106</v>
      </c>
      <c r="H16" s="44" t="s">
        <v>10</v>
      </c>
      <c r="I16" s="44" t="s">
        <v>55</v>
      </c>
      <c r="J16" s="44" t="s">
        <v>696</v>
      </c>
    </row>
    <row r="17" spans="1:10" x14ac:dyDescent="0.25">
      <c r="A17" s="40" t="s">
        <v>4</v>
      </c>
      <c r="B17" s="41">
        <v>47</v>
      </c>
      <c r="C17" s="42">
        <v>26</v>
      </c>
      <c r="D17" s="43" t="s">
        <v>697</v>
      </c>
      <c r="E17" s="41" t="s">
        <v>28</v>
      </c>
      <c r="F17" s="40" t="s">
        <v>58</v>
      </c>
      <c r="G17" s="44" t="s">
        <v>247</v>
      </c>
      <c r="H17" s="44" t="s">
        <v>513</v>
      </c>
      <c r="I17" s="44" t="s">
        <v>110</v>
      </c>
      <c r="J17" s="44" t="s">
        <v>200</v>
      </c>
    </row>
    <row r="18" spans="1:10" x14ac:dyDescent="0.25">
      <c r="A18" s="40" t="s">
        <v>324</v>
      </c>
      <c r="B18" s="41">
        <v>47</v>
      </c>
      <c r="C18" s="42">
        <v>58</v>
      </c>
      <c r="D18" s="43" t="s">
        <v>798</v>
      </c>
      <c r="E18" s="41" t="s">
        <v>7</v>
      </c>
      <c r="F18" s="40" t="s">
        <v>73</v>
      </c>
      <c r="G18" s="44" t="s">
        <v>252</v>
      </c>
      <c r="H18" s="44" t="s">
        <v>10</v>
      </c>
      <c r="I18" s="44" t="s">
        <v>161</v>
      </c>
      <c r="J18" s="44" t="s">
        <v>223</v>
      </c>
    </row>
    <row r="19" spans="1:10" x14ac:dyDescent="0.25">
      <c r="A19" s="40" t="s">
        <v>883</v>
      </c>
      <c r="B19" s="41">
        <v>47</v>
      </c>
      <c r="C19" s="42">
        <v>74</v>
      </c>
      <c r="D19" s="43" t="s">
        <v>847</v>
      </c>
      <c r="E19" s="41" t="s">
        <v>428</v>
      </c>
      <c r="F19" s="40" t="s">
        <v>89</v>
      </c>
      <c r="G19" s="44" t="s">
        <v>90</v>
      </c>
      <c r="H19" s="44" t="s">
        <v>48</v>
      </c>
      <c r="I19" s="44" t="s">
        <v>16</v>
      </c>
      <c r="J19" s="44" t="s">
        <v>848</v>
      </c>
    </row>
    <row r="20" spans="1:10" x14ac:dyDescent="0.25">
      <c r="A20" s="40" t="s">
        <v>883</v>
      </c>
      <c r="B20" s="41">
        <v>47</v>
      </c>
      <c r="C20" s="42">
        <v>43</v>
      </c>
      <c r="D20" s="43" t="s">
        <v>849</v>
      </c>
      <c r="E20" s="41" t="s">
        <v>447</v>
      </c>
      <c r="F20" s="40" t="s">
        <v>82</v>
      </c>
      <c r="G20" s="44" t="s">
        <v>268</v>
      </c>
      <c r="H20" s="44" t="s">
        <v>657</v>
      </c>
      <c r="I20" s="44" t="s">
        <v>99</v>
      </c>
      <c r="J20" s="44" t="s">
        <v>177</v>
      </c>
    </row>
    <row r="21" spans="1:10" x14ac:dyDescent="0.25">
      <c r="A21" s="40" t="s">
        <v>892</v>
      </c>
      <c r="B21" s="41">
        <v>47</v>
      </c>
      <c r="C21" s="42">
        <v>83</v>
      </c>
      <c r="D21" s="43" t="s">
        <v>677</v>
      </c>
      <c r="E21" s="41" t="s">
        <v>246</v>
      </c>
      <c r="F21" s="40" t="s">
        <v>128</v>
      </c>
      <c r="G21" s="44" t="s">
        <v>774</v>
      </c>
      <c r="H21" s="44" t="s">
        <v>678</v>
      </c>
      <c r="I21" s="44" t="s">
        <v>726</v>
      </c>
      <c r="J21" s="44" t="s">
        <v>775</v>
      </c>
    </row>
    <row r="22" spans="1:10" x14ac:dyDescent="0.25">
      <c r="A22" s="40" t="s">
        <v>892</v>
      </c>
      <c r="B22" s="41">
        <v>47</v>
      </c>
      <c r="C22" s="42">
        <v>83</v>
      </c>
      <c r="D22" s="43" t="s">
        <v>677</v>
      </c>
      <c r="E22" s="41" t="s">
        <v>246</v>
      </c>
      <c r="F22" s="40" t="s">
        <v>128</v>
      </c>
      <c r="G22" s="41"/>
      <c r="H22" s="41" t="s">
        <v>678</v>
      </c>
      <c r="I22" s="41"/>
      <c r="J22" s="41"/>
    </row>
    <row r="23" spans="1:10" x14ac:dyDescent="0.25">
      <c r="A23" s="40"/>
      <c r="B23" s="41"/>
      <c r="C23" s="42"/>
      <c r="D23" s="38" t="s">
        <v>940</v>
      </c>
      <c r="E23" s="41"/>
      <c r="F23" s="40"/>
      <c r="G23" s="41"/>
      <c r="H23" s="41"/>
      <c r="I23" s="41"/>
      <c r="J23" s="41"/>
    </row>
    <row r="24" spans="1:10" x14ac:dyDescent="0.25">
      <c r="A24" s="40"/>
      <c r="B24" s="41"/>
      <c r="C24" s="42"/>
      <c r="D24" s="39" t="s">
        <v>895</v>
      </c>
      <c r="E24" s="41"/>
      <c r="F24" s="40"/>
      <c r="G24" s="41"/>
      <c r="H24" s="41"/>
      <c r="I24" s="41"/>
      <c r="J24" s="41"/>
    </row>
    <row r="25" spans="1:10" x14ac:dyDescent="0.25">
      <c r="A25" s="40" t="s">
        <v>4</v>
      </c>
      <c r="B25" s="41">
        <v>57</v>
      </c>
      <c r="C25" s="42">
        <v>86</v>
      </c>
      <c r="D25" s="43" t="s">
        <v>704</v>
      </c>
      <c r="E25" s="41" t="s">
        <v>468</v>
      </c>
      <c r="F25" s="40" t="s">
        <v>82</v>
      </c>
      <c r="G25" s="44" t="s">
        <v>705</v>
      </c>
      <c r="H25" s="44" t="s">
        <v>706</v>
      </c>
      <c r="I25" s="44" t="s">
        <v>158</v>
      </c>
      <c r="J25" s="44" t="s">
        <v>707</v>
      </c>
    </row>
    <row r="26" spans="1:10" x14ac:dyDescent="0.25">
      <c r="A26" s="40" t="s">
        <v>4</v>
      </c>
      <c r="B26" s="41">
        <v>52</v>
      </c>
      <c r="C26" s="42">
        <v>50</v>
      </c>
      <c r="D26" s="43" t="s">
        <v>698</v>
      </c>
      <c r="E26" s="41" t="s">
        <v>451</v>
      </c>
      <c r="F26" s="40" t="s">
        <v>53</v>
      </c>
      <c r="G26" s="44" t="s">
        <v>161</v>
      </c>
      <c r="H26" s="44" t="s">
        <v>345</v>
      </c>
      <c r="I26" s="44" t="s">
        <v>117</v>
      </c>
      <c r="J26" s="44" t="s">
        <v>438</v>
      </c>
    </row>
    <row r="27" spans="1:10" x14ac:dyDescent="0.25">
      <c r="A27" s="40" t="s">
        <v>4</v>
      </c>
      <c r="B27" s="41">
        <v>52</v>
      </c>
      <c r="C27" s="42">
        <v>68</v>
      </c>
      <c r="D27" s="43" t="s">
        <v>699</v>
      </c>
      <c r="E27" s="41">
        <v>1995</v>
      </c>
      <c r="F27" s="40" t="s">
        <v>73</v>
      </c>
      <c r="G27" s="44">
        <v>145</v>
      </c>
      <c r="H27" s="44">
        <v>70</v>
      </c>
      <c r="I27" s="44">
        <v>145</v>
      </c>
      <c r="J27" s="44">
        <v>360</v>
      </c>
    </row>
    <row r="28" spans="1:10" x14ac:dyDescent="0.25">
      <c r="A28" s="40" t="s">
        <v>324</v>
      </c>
      <c r="B28" s="41">
        <v>52</v>
      </c>
      <c r="C28" s="42">
        <v>78</v>
      </c>
      <c r="D28" s="43" t="s">
        <v>799</v>
      </c>
      <c r="E28" s="41" t="s">
        <v>351</v>
      </c>
      <c r="F28" s="40" t="s">
        <v>53</v>
      </c>
      <c r="G28" s="44" t="s">
        <v>268</v>
      </c>
      <c r="H28" s="44" t="s">
        <v>706</v>
      </c>
      <c r="I28" s="44" t="s">
        <v>132</v>
      </c>
      <c r="J28" s="44" t="s">
        <v>800</v>
      </c>
    </row>
    <row r="29" spans="1:10" x14ac:dyDescent="0.25">
      <c r="A29" s="40" t="s">
        <v>324</v>
      </c>
      <c r="B29" s="41">
        <v>52</v>
      </c>
      <c r="C29" s="42">
        <v>38</v>
      </c>
      <c r="D29" s="43" t="s">
        <v>801</v>
      </c>
      <c r="E29" s="41" t="s">
        <v>34</v>
      </c>
      <c r="F29" s="40" t="s">
        <v>82</v>
      </c>
      <c r="G29" s="44" t="s">
        <v>11</v>
      </c>
      <c r="H29" s="44" t="s">
        <v>513</v>
      </c>
      <c r="I29" s="44" t="s">
        <v>47</v>
      </c>
      <c r="J29" s="44" t="s">
        <v>239</v>
      </c>
    </row>
    <row r="30" spans="1:10" x14ac:dyDescent="0.25">
      <c r="A30" s="40" t="s">
        <v>324</v>
      </c>
      <c r="B30" s="41">
        <v>52</v>
      </c>
      <c r="C30" s="42">
        <v>13</v>
      </c>
      <c r="D30" s="43" t="s">
        <v>802</v>
      </c>
      <c r="E30" s="41" t="s">
        <v>34</v>
      </c>
      <c r="F30" s="40" t="s">
        <v>53</v>
      </c>
      <c r="G30" s="44" t="s">
        <v>47</v>
      </c>
      <c r="H30" s="44" t="s">
        <v>31</v>
      </c>
      <c r="I30" s="44" t="s">
        <v>106</v>
      </c>
      <c r="J30" s="44" t="s">
        <v>239</v>
      </c>
    </row>
    <row r="31" spans="1:10" x14ac:dyDescent="0.25">
      <c r="A31" s="40" t="s">
        <v>883</v>
      </c>
      <c r="B31" s="41">
        <v>52</v>
      </c>
      <c r="C31" s="42">
        <v>8</v>
      </c>
      <c r="D31" s="43" t="s">
        <v>850</v>
      </c>
      <c r="E31" s="41">
        <v>1982</v>
      </c>
      <c r="F31" s="40" t="s">
        <v>89</v>
      </c>
      <c r="G31" s="44">
        <v>97.5</v>
      </c>
      <c r="H31" s="44">
        <v>52.5</v>
      </c>
      <c r="I31" s="44">
        <v>132.5</v>
      </c>
      <c r="J31" s="44">
        <v>282.5</v>
      </c>
    </row>
    <row r="32" spans="1:10" x14ac:dyDescent="0.25">
      <c r="A32" s="40" t="s">
        <v>892</v>
      </c>
      <c r="B32" s="41">
        <v>52</v>
      </c>
      <c r="C32" s="42">
        <v>7</v>
      </c>
      <c r="D32" s="43" t="s">
        <v>776</v>
      </c>
      <c r="E32" s="41" t="s">
        <v>651</v>
      </c>
      <c r="F32" s="40" t="s">
        <v>73</v>
      </c>
      <c r="G32" s="44" t="s">
        <v>247</v>
      </c>
      <c r="H32" s="44" t="s">
        <v>10</v>
      </c>
      <c r="I32" s="44" t="s">
        <v>161</v>
      </c>
      <c r="J32" s="44" t="s">
        <v>696</v>
      </c>
    </row>
    <row r="33" spans="1:10" x14ac:dyDescent="0.25">
      <c r="A33" s="40" t="s">
        <v>892</v>
      </c>
      <c r="B33" s="41">
        <v>52</v>
      </c>
      <c r="C33" s="42">
        <v>56</v>
      </c>
      <c r="D33" s="43" t="s">
        <v>777</v>
      </c>
      <c r="E33" s="41" t="s">
        <v>265</v>
      </c>
      <c r="F33" s="40" t="s">
        <v>73</v>
      </c>
      <c r="G33" s="44" t="s">
        <v>778</v>
      </c>
      <c r="H33" s="44" t="s">
        <v>10</v>
      </c>
      <c r="I33" s="44" t="s">
        <v>779</v>
      </c>
      <c r="J33" s="44" t="s">
        <v>780</v>
      </c>
    </row>
    <row r="34" spans="1:10" x14ac:dyDescent="0.25">
      <c r="A34" s="40" t="s">
        <v>875</v>
      </c>
      <c r="B34" s="41">
        <v>52</v>
      </c>
      <c r="C34" s="42">
        <v>79</v>
      </c>
      <c r="D34" s="43" t="s">
        <v>6</v>
      </c>
      <c r="E34" s="41" t="s">
        <v>7</v>
      </c>
      <c r="F34" s="40" t="s">
        <v>8</v>
      </c>
      <c r="G34" s="41" t="s">
        <v>9</v>
      </c>
      <c r="H34" s="41" t="s">
        <v>10</v>
      </c>
      <c r="I34" s="41" t="s">
        <v>11</v>
      </c>
      <c r="J34" s="41" t="s">
        <v>12</v>
      </c>
    </row>
    <row r="35" spans="1:10" x14ac:dyDescent="0.25">
      <c r="A35" s="75" t="s">
        <v>959</v>
      </c>
      <c r="B35" s="75"/>
      <c r="C35" s="75"/>
      <c r="D35" s="75"/>
      <c r="E35" s="75"/>
      <c r="F35" s="75"/>
      <c r="G35" s="75"/>
      <c r="H35" s="75"/>
      <c r="I35" s="75"/>
      <c r="J35" s="75"/>
    </row>
    <row r="36" spans="1:10" x14ac:dyDescent="0.25">
      <c r="A36" s="78" t="s">
        <v>938</v>
      </c>
      <c r="B36" s="78"/>
      <c r="C36" s="78"/>
      <c r="D36" s="78"/>
      <c r="E36" s="78"/>
      <c r="F36" s="78"/>
      <c r="G36" s="78"/>
      <c r="H36" s="78"/>
      <c r="I36" s="78"/>
      <c r="J36" s="78"/>
    </row>
    <row r="37" spans="1:10" x14ac:dyDescent="0.25">
      <c r="A37" s="78" t="s">
        <v>935</v>
      </c>
      <c r="B37" s="78"/>
      <c r="C37" s="78"/>
      <c r="D37" s="78"/>
      <c r="E37" s="78"/>
      <c r="F37" s="78"/>
      <c r="G37" s="78"/>
      <c r="H37" s="78"/>
      <c r="I37" s="78"/>
      <c r="J37" s="78"/>
    </row>
    <row r="38" spans="1:10" s="22" customFormat="1" x14ac:dyDescent="0.25">
      <c r="A38" s="77" t="s">
        <v>936</v>
      </c>
      <c r="B38" s="77"/>
      <c r="C38" s="77"/>
      <c r="D38" s="77"/>
      <c r="E38" s="77"/>
      <c r="F38" s="77"/>
      <c r="G38" s="77"/>
      <c r="H38" s="77"/>
      <c r="I38" s="77"/>
      <c r="J38" s="77"/>
    </row>
    <row r="39" spans="1:10" x14ac:dyDescent="0.25">
      <c r="A39" s="30" t="s">
        <v>0</v>
      </c>
      <c r="B39" s="30" t="s">
        <v>1</v>
      </c>
      <c r="C39" s="30" t="s">
        <v>931</v>
      </c>
      <c r="D39" s="37" t="s">
        <v>889</v>
      </c>
      <c r="E39" s="30" t="s">
        <v>890</v>
      </c>
      <c r="F39" s="30" t="s">
        <v>891</v>
      </c>
      <c r="G39" s="32" t="s">
        <v>874</v>
      </c>
      <c r="H39" s="32" t="s">
        <v>887</v>
      </c>
      <c r="I39" s="32" t="s">
        <v>888</v>
      </c>
      <c r="J39" s="32" t="s">
        <v>3</v>
      </c>
    </row>
    <row r="40" spans="1:10" s="22" customFormat="1" ht="15" customHeight="1" x14ac:dyDescent="0.25">
      <c r="A40" s="28"/>
      <c r="B40" s="28"/>
      <c r="C40" s="28"/>
      <c r="D40" s="38" t="s">
        <v>939</v>
      </c>
      <c r="E40" s="28"/>
      <c r="F40" s="28"/>
      <c r="G40" s="29"/>
      <c r="H40" s="29"/>
      <c r="I40" s="29"/>
      <c r="J40" s="29"/>
    </row>
    <row r="41" spans="1:10" x14ac:dyDescent="0.25">
      <c r="A41" s="40"/>
      <c r="B41" s="41"/>
      <c r="C41" s="42"/>
      <c r="D41" s="39" t="s">
        <v>896</v>
      </c>
      <c r="E41" s="41"/>
      <c r="F41" s="40"/>
      <c r="G41" s="41"/>
      <c r="H41" s="41"/>
      <c r="I41" s="41"/>
      <c r="J41" s="41"/>
    </row>
    <row r="42" spans="1:10" x14ac:dyDescent="0.25">
      <c r="A42" s="40" t="s">
        <v>324</v>
      </c>
      <c r="B42" s="41">
        <v>57</v>
      </c>
      <c r="C42" s="42">
        <v>84</v>
      </c>
      <c r="D42" s="43" t="s">
        <v>680</v>
      </c>
      <c r="E42" s="41" t="s">
        <v>7</v>
      </c>
      <c r="F42" s="40" t="s">
        <v>73</v>
      </c>
      <c r="G42" s="44" t="s">
        <v>795</v>
      </c>
      <c r="H42" s="44" t="s">
        <v>508</v>
      </c>
      <c r="I42" s="44" t="s">
        <v>186</v>
      </c>
      <c r="J42" s="44" t="s">
        <v>803</v>
      </c>
    </row>
    <row r="43" spans="1:10" x14ac:dyDescent="0.25">
      <c r="A43" s="40" t="s">
        <v>324</v>
      </c>
      <c r="B43" s="41">
        <v>57</v>
      </c>
      <c r="C43" s="42">
        <v>67</v>
      </c>
      <c r="D43" s="43" t="s">
        <v>804</v>
      </c>
      <c r="E43" s="41" t="s">
        <v>77</v>
      </c>
      <c r="F43" s="40" t="s">
        <v>53</v>
      </c>
      <c r="G43" s="44" t="s">
        <v>16</v>
      </c>
      <c r="H43" s="44" t="s">
        <v>17</v>
      </c>
      <c r="I43" s="44" t="s">
        <v>65</v>
      </c>
      <c r="J43" s="44" t="s">
        <v>43</v>
      </c>
    </row>
    <row r="44" spans="1:10" x14ac:dyDescent="0.25">
      <c r="A44" s="40" t="s">
        <v>324</v>
      </c>
      <c r="B44" s="41">
        <v>57</v>
      </c>
      <c r="C44" s="42">
        <v>35</v>
      </c>
      <c r="D44" s="43" t="s">
        <v>805</v>
      </c>
      <c r="E44" s="41" t="s">
        <v>7</v>
      </c>
      <c r="F44" s="40" t="s">
        <v>109</v>
      </c>
      <c r="G44" s="44" t="s">
        <v>297</v>
      </c>
      <c r="H44" s="44" t="s">
        <v>806</v>
      </c>
      <c r="I44" s="44" t="s">
        <v>42</v>
      </c>
      <c r="J44" s="44" t="s">
        <v>793</v>
      </c>
    </row>
    <row r="45" spans="1:10" x14ac:dyDescent="0.25">
      <c r="A45" s="40" t="s">
        <v>324</v>
      </c>
      <c r="B45" s="41">
        <v>57</v>
      </c>
      <c r="C45" s="42">
        <v>19</v>
      </c>
      <c r="D45" s="43" t="s">
        <v>681</v>
      </c>
      <c r="E45" s="41" t="s">
        <v>34</v>
      </c>
      <c r="F45" s="40" t="s">
        <v>128</v>
      </c>
      <c r="G45" s="44" t="s">
        <v>55</v>
      </c>
      <c r="H45" s="44" t="s">
        <v>663</v>
      </c>
      <c r="I45" s="44" t="s">
        <v>161</v>
      </c>
      <c r="J45" s="44" t="s">
        <v>800</v>
      </c>
    </row>
    <row r="46" spans="1:10" x14ac:dyDescent="0.25">
      <c r="A46" s="40" t="s">
        <v>324</v>
      </c>
      <c r="B46" s="41">
        <v>57</v>
      </c>
      <c r="C46" s="42">
        <v>28</v>
      </c>
      <c r="D46" s="43" t="s">
        <v>21</v>
      </c>
      <c r="E46" s="41" t="s">
        <v>7</v>
      </c>
      <c r="F46" s="40" t="s">
        <v>89</v>
      </c>
      <c r="G46" s="44" t="s">
        <v>23</v>
      </c>
      <c r="H46" s="44" t="s">
        <v>24</v>
      </c>
      <c r="I46" s="44" t="s">
        <v>25</v>
      </c>
      <c r="J46" s="44" t="s">
        <v>26</v>
      </c>
    </row>
    <row r="47" spans="1:10" x14ac:dyDescent="0.25">
      <c r="A47" s="40" t="s">
        <v>324</v>
      </c>
      <c r="B47" s="41">
        <v>57</v>
      </c>
      <c r="C47" s="42">
        <v>15</v>
      </c>
      <c r="D47" s="43" t="s">
        <v>807</v>
      </c>
      <c r="E47" s="41" t="s">
        <v>351</v>
      </c>
      <c r="F47" s="40" t="s">
        <v>89</v>
      </c>
      <c r="G47" s="44" t="s">
        <v>247</v>
      </c>
      <c r="H47" s="44" t="s">
        <v>325</v>
      </c>
      <c r="I47" s="44" t="s">
        <v>99</v>
      </c>
      <c r="J47" s="44" t="s">
        <v>12</v>
      </c>
    </row>
    <row r="48" spans="1:10" x14ac:dyDescent="0.25">
      <c r="A48" s="40" t="s">
        <v>324</v>
      </c>
      <c r="B48" s="41">
        <v>57</v>
      </c>
      <c r="C48" s="42">
        <v>70</v>
      </c>
      <c r="D48" s="43" t="s">
        <v>680</v>
      </c>
      <c r="E48" s="41" t="s">
        <v>7</v>
      </c>
      <c r="F48" s="40" t="s">
        <v>73</v>
      </c>
      <c r="G48" s="41"/>
      <c r="H48" s="41" t="s">
        <v>508</v>
      </c>
      <c r="I48" s="41"/>
      <c r="J48" s="41"/>
    </row>
    <row r="49" spans="1:10" x14ac:dyDescent="0.25">
      <c r="A49" s="40" t="s">
        <v>324</v>
      </c>
      <c r="B49" s="41">
        <v>57</v>
      </c>
      <c r="C49" s="42">
        <v>19</v>
      </c>
      <c r="D49" s="43" t="s">
        <v>681</v>
      </c>
      <c r="E49" s="41" t="s">
        <v>34</v>
      </c>
      <c r="F49" s="40" t="s">
        <v>128</v>
      </c>
      <c r="G49" s="41"/>
      <c r="H49" s="41" t="s">
        <v>663</v>
      </c>
      <c r="I49" s="41"/>
      <c r="J49" s="41"/>
    </row>
    <row r="50" spans="1:10" x14ac:dyDescent="0.25">
      <c r="A50" s="40" t="s">
        <v>892</v>
      </c>
      <c r="B50" s="41">
        <v>57</v>
      </c>
      <c r="C50" s="42">
        <v>37</v>
      </c>
      <c r="D50" s="43" t="s">
        <v>781</v>
      </c>
      <c r="E50" s="41" t="s">
        <v>246</v>
      </c>
      <c r="F50" s="40" t="s">
        <v>109</v>
      </c>
      <c r="G50" s="44" t="s">
        <v>782</v>
      </c>
      <c r="H50" s="44" t="s">
        <v>783</v>
      </c>
      <c r="I50" s="44" t="s">
        <v>84</v>
      </c>
      <c r="J50" s="44" t="s">
        <v>784</v>
      </c>
    </row>
    <row r="51" spans="1:10" x14ac:dyDescent="0.25">
      <c r="A51" s="40" t="s">
        <v>892</v>
      </c>
      <c r="B51" s="41">
        <v>57</v>
      </c>
      <c r="C51" s="42">
        <v>48</v>
      </c>
      <c r="D51" s="43" t="s">
        <v>785</v>
      </c>
      <c r="E51" s="41" t="s">
        <v>246</v>
      </c>
      <c r="F51" s="40" t="s">
        <v>58</v>
      </c>
      <c r="G51" s="44" t="s">
        <v>55</v>
      </c>
      <c r="H51" s="44" t="s">
        <v>783</v>
      </c>
      <c r="I51" s="44" t="s">
        <v>25</v>
      </c>
      <c r="J51" s="44" t="s">
        <v>786</v>
      </c>
    </row>
    <row r="52" spans="1:10" x14ac:dyDescent="0.25">
      <c r="A52" s="40" t="s">
        <v>892</v>
      </c>
      <c r="B52" s="41">
        <v>57</v>
      </c>
      <c r="C52" s="42">
        <v>89</v>
      </c>
      <c r="D52" s="43" t="s">
        <v>787</v>
      </c>
      <c r="E52" s="41" t="s">
        <v>246</v>
      </c>
      <c r="F52" s="40" t="s">
        <v>89</v>
      </c>
      <c r="G52" s="44" t="s">
        <v>252</v>
      </c>
      <c r="H52" s="44" t="s">
        <v>788</v>
      </c>
      <c r="I52" s="44" t="s">
        <v>789</v>
      </c>
      <c r="J52" s="44" t="s">
        <v>636</v>
      </c>
    </row>
    <row r="53" spans="1:10" x14ac:dyDescent="0.25">
      <c r="A53" s="40" t="s">
        <v>875</v>
      </c>
      <c r="B53" s="41">
        <v>57</v>
      </c>
      <c r="C53" s="42">
        <v>40</v>
      </c>
      <c r="D53" s="43" t="s">
        <v>13</v>
      </c>
      <c r="E53" s="41" t="s">
        <v>14</v>
      </c>
      <c r="F53" s="40" t="s">
        <v>15</v>
      </c>
      <c r="G53" s="41" t="s">
        <v>16</v>
      </c>
      <c r="H53" s="41" t="s">
        <v>17</v>
      </c>
      <c r="I53" s="41" t="s">
        <v>18</v>
      </c>
      <c r="J53" s="41" t="s">
        <v>19</v>
      </c>
    </row>
    <row r="54" spans="1:10" x14ac:dyDescent="0.25">
      <c r="A54" s="40" t="s">
        <v>875</v>
      </c>
      <c r="B54" s="41">
        <v>57</v>
      </c>
      <c r="C54" s="42">
        <v>47</v>
      </c>
      <c r="D54" s="43" t="s">
        <v>21</v>
      </c>
      <c r="E54" s="41" t="s">
        <v>7</v>
      </c>
      <c r="F54" s="40" t="s">
        <v>22</v>
      </c>
      <c r="G54" s="41" t="s">
        <v>23</v>
      </c>
      <c r="H54" s="41" t="s">
        <v>24</v>
      </c>
      <c r="I54" s="41" t="s">
        <v>25</v>
      </c>
      <c r="J54" s="41" t="s">
        <v>26</v>
      </c>
    </row>
    <row r="55" spans="1:10" x14ac:dyDescent="0.25">
      <c r="A55" s="40"/>
      <c r="B55" s="41"/>
      <c r="C55" s="42"/>
      <c r="D55" s="39" t="s">
        <v>940</v>
      </c>
      <c r="E55" s="41"/>
      <c r="F55" s="40"/>
      <c r="G55" s="41"/>
      <c r="H55" s="41"/>
      <c r="I55" s="41"/>
      <c r="J55" s="41"/>
    </row>
    <row r="56" spans="1:10" x14ac:dyDescent="0.25">
      <c r="A56" s="40"/>
      <c r="B56" s="41"/>
      <c r="C56" s="42"/>
      <c r="D56" s="39" t="s">
        <v>896</v>
      </c>
      <c r="E56" s="41"/>
      <c r="F56" s="40"/>
      <c r="G56" s="41"/>
      <c r="H56" s="41"/>
      <c r="I56" s="41"/>
      <c r="J56" s="41"/>
    </row>
    <row r="57" spans="1:10" x14ac:dyDescent="0.25">
      <c r="A57" s="40" t="s">
        <v>4</v>
      </c>
      <c r="B57" s="41">
        <v>63</v>
      </c>
      <c r="C57" s="42">
        <v>21</v>
      </c>
      <c r="D57" s="43" t="s">
        <v>723</v>
      </c>
      <c r="E57" s="41" t="s">
        <v>527</v>
      </c>
      <c r="F57" s="40" t="s">
        <v>53</v>
      </c>
      <c r="G57" s="44" t="s">
        <v>117</v>
      </c>
      <c r="H57" s="44" t="s">
        <v>23</v>
      </c>
      <c r="I57" s="44" t="s">
        <v>186</v>
      </c>
      <c r="J57" s="44" t="s">
        <v>724</v>
      </c>
    </row>
    <row r="58" spans="1:10" x14ac:dyDescent="0.25">
      <c r="A58" s="40" t="s">
        <v>4</v>
      </c>
      <c r="B58" s="41">
        <v>57</v>
      </c>
      <c r="C58" s="42">
        <v>95</v>
      </c>
      <c r="D58" s="43" t="s">
        <v>700</v>
      </c>
      <c r="E58" s="41" t="s">
        <v>14</v>
      </c>
      <c r="F58" s="40" t="s">
        <v>73</v>
      </c>
      <c r="G58" s="44" t="s">
        <v>42</v>
      </c>
      <c r="H58" s="44" t="s">
        <v>345</v>
      </c>
      <c r="I58" s="44" t="s">
        <v>433</v>
      </c>
      <c r="J58" s="44" t="s">
        <v>701</v>
      </c>
    </row>
    <row r="59" spans="1:10" x14ac:dyDescent="0.25">
      <c r="A59" s="40" t="s">
        <v>4</v>
      </c>
      <c r="B59" s="41">
        <v>57</v>
      </c>
      <c r="C59" s="42">
        <v>3</v>
      </c>
      <c r="D59" s="43" t="s">
        <v>702</v>
      </c>
      <c r="E59" s="41" t="s">
        <v>131</v>
      </c>
      <c r="F59" s="40" t="s">
        <v>141</v>
      </c>
      <c r="G59" s="44" t="s">
        <v>74</v>
      </c>
      <c r="H59" s="44" t="s">
        <v>31</v>
      </c>
      <c r="I59" s="44" t="s">
        <v>65</v>
      </c>
      <c r="J59" s="44" t="s">
        <v>703</v>
      </c>
    </row>
    <row r="60" spans="1:10" x14ac:dyDescent="0.25">
      <c r="A60" s="40" t="s">
        <v>4</v>
      </c>
      <c r="B60" s="41">
        <v>57</v>
      </c>
      <c r="C60" s="42">
        <v>76</v>
      </c>
      <c r="D60" s="43" t="s">
        <v>708</v>
      </c>
      <c r="E60" s="41" t="s">
        <v>72</v>
      </c>
      <c r="F60" s="40" t="s">
        <v>82</v>
      </c>
      <c r="G60" s="44" t="s">
        <v>30</v>
      </c>
      <c r="H60" s="44" t="s">
        <v>17</v>
      </c>
      <c r="I60" s="44" t="s">
        <v>709</v>
      </c>
      <c r="J60" s="44" t="s">
        <v>710</v>
      </c>
    </row>
    <row r="61" spans="1:10" x14ac:dyDescent="0.25">
      <c r="A61" s="40" t="s">
        <v>4</v>
      </c>
      <c r="B61" s="41">
        <v>57</v>
      </c>
      <c r="C61" s="42">
        <v>49</v>
      </c>
      <c r="D61" s="43" t="s">
        <v>711</v>
      </c>
      <c r="E61" s="41" t="s">
        <v>69</v>
      </c>
      <c r="F61" s="40" t="s">
        <v>73</v>
      </c>
      <c r="G61" s="44" t="s">
        <v>90</v>
      </c>
      <c r="H61" s="44" t="s">
        <v>513</v>
      </c>
      <c r="I61" s="44" t="s">
        <v>37</v>
      </c>
      <c r="J61" s="44" t="s">
        <v>19</v>
      </c>
    </row>
    <row r="62" spans="1:10" x14ac:dyDescent="0.25">
      <c r="A62" s="40" t="s">
        <v>4</v>
      </c>
      <c r="B62" s="41">
        <v>57</v>
      </c>
      <c r="C62" s="42">
        <v>66</v>
      </c>
      <c r="D62" s="43" t="s">
        <v>713</v>
      </c>
      <c r="E62" s="41" t="s">
        <v>72</v>
      </c>
      <c r="F62" s="40" t="s">
        <v>89</v>
      </c>
      <c r="G62" s="44" t="s">
        <v>84</v>
      </c>
      <c r="H62" s="44" t="s">
        <v>706</v>
      </c>
      <c r="I62" s="44" t="s">
        <v>357</v>
      </c>
      <c r="J62" s="44" t="s">
        <v>714</v>
      </c>
    </row>
    <row r="63" spans="1:10" x14ac:dyDescent="0.25">
      <c r="A63" s="40" t="s">
        <v>4</v>
      </c>
      <c r="B63" s="41">
        <v>57</v>
      </c>
      <c r="C63" s="42">
        <v>29</v>
      </c>
      <c r="D63" s="43" t="s">
        <v>715</v>
      </c>
      <c r="E63" s="41" t="s">
        <v>527</v>
      </c>
      <c r="F63" s="40" t="s">
        <v>89</v>
      </c>
      <c r="G63" s="44" t="s">
        <v>297</v>
      </c>
      <c r="H63" s="44" t="s">
        <v>17</v>
      </c>
      <c r="I63" s="44" t="s">
        <v>348</v>
      </c>
      <c r="J63" s="44" t="s">
        <v>716</v>
      </c>
    </row>
    <row r="64" spans="1:10" x14ac:dyDescent="0.25">
      <c r="A64" s="40" t="s">
        <v>4</v>
      </c>
      <c r="B64" s="41">
        <v>57</v>
      </c>
      <c r="C64" s="42">
        <v>46</v>
      </c>
      <c r="D64" s="43" t="s">
        <v>664</v>
      </c>
      <c r="E64" s="41" t="s">
        <v>139</v>
      </c>
      <c r="F64" s="40" t="s">
        <v>128</v>
      </c>
      <c r="G64" s="44" t="s">
        <v>90</v>
      </c>
      <c r="H64" s="44" t="s">
        <v>24</v>
      </c>
      <c r="I64" s="44" t="s">
        <v>11</v>
      </c>
      <c r="J64" s="44" t="s">
        <v>578</v>
      </c>
    </row>
    <row r="65" spans="1:10" x14ac:dyDescent="0.25">
      <c r="A65" s="40" t="s">
        <v>4</v>
      </c>
      <c r="B65" s="41">
        <v>57</v>
      </c>
      <c r="C65" s="42">
        <v>46</v>
      </c>
      <c r="D65" s="43" t="s">
        <v>664</v>
      </c>
      <c r="E65" s="41" t="s">
        <v>139</v>
      </c>
      <c r="F65" s="40" t="s">
        <v>128</v>
      </c>
      <c r="G65" s="44"/>
      <c r="H65" s="44" t="s">
        <v>24</v>
      </c>
      <c r="I65" s="44"/>
      <c r="J65" s="44">
        <v>67.5</v>
      </c>
    </row>
    <row r="66" spans="1:10" x14ac:dyDescent="0.25">
      <c r="A66" s="40" t="s">
        <v>883</v>
      </c>
      <c r="B66" s="41">
        <v>57</v>
      </c>
      <c r="C66" s="42">
        <v>75</v>
      </c>
      <c r="D66" s="43" t="s">
        <v>851</v>
      </c>
      <c r="E66" s="41" t="s">
        <v>451</v>
      </c>
      <c r="F66" s="40" t="s">
        <v>89</v>
      </c>
      <c r="G66" s="44" t="s">
        <v>274</v>
      </c>
      <c r="H66" s="44" t="s">
        <v>10</v>
      </c>
      <c r="I66" s="44" t="s">
        <v>11</v>
      </c>
      <c r="J66" s="44" t="s">
        <v>223</v>
      </c>
    </row>
    <row r="67" spans="1:10" x14ac:dyDescent="0.25">
      <c r="A67" s="40" t="s">
        <v>883</v>
      </c>
      <c r="B67" s="41">
        <v>63</v>
      </c>
      <c r="C67" s="42">
        <v>6</v>
      </c>
      <c r="D67" s="43" t="s">
        <v>855</v>
      </c>
      <c r="E67" s="41" t="s">
        <v>449</v>
      </c>
      <c r="F67" s="40" t="s">
        <v>82</v>
      </c>
      <c r="G67" s="44" t="s">
        <v>60</v>
      </c>
      <c r="H67" s="44" t="s">
        <v>657</v>
      </c>
      <c r="I67" s="44" t="s">
        <v>55</v>
      </c>
      <c r="J67" s="44" t="s">
        <v>177</v>
      </c>
    </row>
    <row r="68" spans="1:10" x14ac:dyDescent="0.25">
      <c r="A68" s="40" t="s">
        <v>883</v>
      </c>
      <c r="B68" s="41">
        <v>57</v>
      </c>
      <c r="C68" s="42">
        <v>59</v>
      </c>
      <c r="D68" s="43" t="s">
        <v>683</v>
      </c>
      <c r="E68" s="41" t="s">
        <v>441</v>
      </c>
      <c r="F68" s="40" t="s">
        <v>89</v>
      </c>
      <c r="G68" s="41"/>
      <c r="H68" s="41" t="s">
        <v>654</v>
      </c>
      <c r="I68" s="41"/>
      <c r="J68" s="41"/>
    </row>
    <row r="69" spans="1:10" x14ac:dyDescent="0.25">
      <c r="A69" s="75" t="s">
        <v>959</v>
      </c>
      <c r="B69" s="75"/>
      <c r="C69" s="75"/>
      <c r="D69" s="75"/>
      <c r="E69" s="75"/>
      <c r="F69" s="75"/>
      <c r="G69" s="75"/>
      <c r="H69" s="75"/>
      <c r="I69" s="75"/>
      <c r="J69" s="75"/>
    </row>
    <row r="70" spans="1:10" x14ac:dyDescent="0.25">
      <c r="A70" s="78" t="s">
        <v>942</v>
      </c>
      <c r="B70" s="78"/>
      <c r="C70" s="78"/>
      <c r="D70" s="78"/>
      <c r="E70" s="78"/>
      <c r="F70" s="78"/>
      <c r="G70" s="78"/>
      <c r="H70" s="78"/>
      <c r="I70" s="78"/>
      <c r="J70" s="78"/>
    </row>
    <row r="71" spans="1:10" x14ac:dyDescent="0.25">
      <c r="A71" s="78" t="s">
        <v>935</v>
      </c>
      <c r="B71" s="78"/>
      <c r="C71" s="78"/>
      <c r="D71" s="78"/>
      <c r="E71" s="78"/>
      <c r="F71" s="78"/>
      <c r="G71" s="78"/>
      <c r="H71" s="78"/>
      <c r="I71" s="78"/>
      <c r="J71" s="78"/>
    </row>
    <row r="72" spans="1:10" s="22" customFormat="1" x14ac:dyDescent="0.25">
      <c r="A72" s="77" t="s">
        <v>936</v>
      </c>
      <c r="B72" s="77"/>
      <c r="C72" s="77"/>
      <c r="D72" s="77"/>
      <c r="E72" s="77"/>
      <c r="F72" s="77"/>
      <c r="G72" s="77"/>
      <c r="H72" s="77"/>
      <c r="I72" s="77"/>
      <c r="J72" s="77"/>
    </row>
    <row r="73" spans="1:10" x14ac:dyDescent="0.25">
      <c r="A73" s="30" t="s">
        <v>0</v>
      </c>
      <c r="B73" s="30" t="s">
        <v>1</v>
      </c>
      <c r="C73" s="30" t="s">
        <v>931</v>
      </c>
      <c r="D73" s="37" t="s">
        <v>889</v>
      </c>
      <c r="E73" s="30" t="s">
        <v>890</v>
      </c>
      <c r="F73" s="30" t="s">
        <v>891</v>
      </c>
      <c r="G73" s="32" t="s">
        <v>874</v>
      </c>
      <c r="H73" s="32" t="s">
        <v>887</v>
      </c>
      <c r="I73" s="32" t="s">
        <v>888</v>
      </c>
      <c r="J73" s="32" t="s">
        <v>3</v>
      </c>
    </row>
    <row r="74" spans="1:10" s="22" customFormat="1" ht="15" customHeight="1" x14ac:dyDescent="0.25">
      <c r="A74" s="28"/>
      <c r="B74" s="28"/>
      <c r="C74" s="28"/>
      <c r="D74" s="38" t="s">
        <v>939</v>
      </c>
      <c r="E74" s="28"/>
      <c r="F74" s="28"/>
      <c r="G74" s="29"/>
      <c r="H74" s="29"/>
      <c r="I74" s="29"/>
      <c r="J74" s="29"/>
    </row>
    <row r="75" spans="1:10" x14ac:dyDescent="0.25">
      <c r="A75" s="40"/>
      <c r="B75" s="41"/>
      <c r="C75" s="42"/>
      <c r="D75" s="39" t="s">
        <v>897</v>
      </c>
      <c r="E75" s="41"/>
      <c r="F75" s="40"/>
      <c r="G75" s="41"/>
      <c r="H75" s="41"/>
      <c r="I75" s="41"/>
      <c r="J75" s="41"/>
    </row>
    <row r="76" spans="1:10" x14ac:dyDescent="0.25">
      <c r="A76" s="40" t="s">
        <v>324</v>
      </c>
      <c r="B76" s="41">
        <v>63</v>
      </c>
      <c r="C76" s="42">
        <v>71</v>
      </c>
      <c r="D76" s="43" t="s">
        <v>808</v>
      </c>
      <c r="E76" s="41">
        <v>2005</v>
      </c>
      <c r="F76" s="40" t="s">
        <v>73</v>
      </c>
      <c r="G76" s="44">
        <v>157</v>
      </c>
      <c r="H76" s="44">
        <v>77.5</v>
      </c>
      <c r="I76" s="44">
        <v>180.5</v>
      </c>
      <c r="J76" s="44">
        <v>416</v>
      </c>
    </row>
    <row r="77" spans="1:10" x14ac:dyDescent="0.25">
      <c r="A77" s="40" t="s">
        <v>324</v>
      </c>
      <c r="B77" s="41">
        <v>63</v>
      </c>
      <c r="C77" s="42">
        <v>41</v>
      </c>
      <c r="D77" s="43" t="s">
        <v>809</v>
      </c>
      <c r="E77" s="41" t="s">
        <v>45</v>
      </c>
      <c r="F77" s="40" t="s">
        <v>73</v>
      </c>
      <c r="G77" s="44" t="s">
        <v>30</v>
      </c>
      <c r="H77" s="44" t="s">
        <v>508</v>
      </c>
      <c r="I77" s="44" t="s">
        <v>176</v>
      </c>
      <c r="J77" s="44" t="s">
        <v>810</v>
      </c>
    </row>
    <row r="78" spans="1:10" x14ac:dyDescent="0.25">
      <c r="A78" s="40" t="s">
        <v>324</v>
      </c>
      <c r="B78" s="41">
        <v>63</v>
      </c>
      <c r="C78" s="42">
        <v>85</v>
      </c>
      <c r="D78" s="43" t="s">
        <v>811</v>
      </c>
      <c r="E78" s="41" t="s">
        <v>7</v>
      </c>
      <c r="F78" s="40" t="s">
        <v>58</v>
      </c>
      <c r="G78" s="44" t="s">
        <v>16</v>
      </c>
      <c r="H78" s="44" t="s">
        <v>31</v>
      </c>
      <c r="I78" s="44" t="s">
        <v>709</v>
      </c>
      <c r="J78" s="44" t="s">
        <v>812</v>
      </c>
    </row>
    <row r="79" spans="1:10" x14ac:dyDescent="0.25">
      <c r="A79" s="40" t="s">
        <v>324</v>
      </c>
      <c r="B79" s="41">
        <v>69</v>
      </c>
      <c r="C79" s="42">
        <v>91</v>
      </c>
      <c r="D79" s="43" t="s">
        <v>831</v>
      </c>
      <c r="E79" s="41" t="s">
        <v>7</v>
      </c>
      <c r="F79" s="40" t="s">
        <v>109</v>
      </c>
      <c r="G79" s="44" t="s">
        <v>832</v>
      </c>
      <c r="H79" s="44" t="s">
        <v>833</v>
      </c>
      <c r="I79" s="44" t="s">
        <v>30</v>
      </c>
      <c r="J79" s="44" t="s">
        <v>834</v>
      </c>
    </row>
    <row r="80" spans="1:10" x14ac:dyDescent="0.25">
      <c r="A80" s="40" t="s">
        <v>324</v>
      </c>
      <c r="B80" s="41">
        <v>63</v>
      </c>
      <c r="C80" s="42">
        <v>36</v>
      </c>
      <c r="D80" s="43" t="s">
        <v>813</v>
      </c>
      <c r="E80" s="41" t="s">
        <v>34</v>
      </c>
      <c r="F80" s="40" t="s">
        <v>53</v>
      </c>
      <c r="G80" s="44" t="s">
        <v>161</v>
      </c>
      <c r="H80" s="44" t="s">
        <v>17</v>
      </c>
      <c r="I80" s="44" t="s">
        <v>176</v>
      </c>
      <c r="J80" s="44" t="s">
        <v>19</v>
      </c>
    </row>
    <row r="81" spans="1:10" x14ac:dyDescent="0.25">
      <c r="A81" s="40" t="s">
        <v>324</v>
      </c>
      <c r="B81" s="41">
        <v>63</v>
      </c>
      <c r="C81" s="42">
        <v>60</v>
      </c>
      <c r="D81" s="43" t="s">
        <v>814</v>
      </c>
      <c r="E81" s="41" t="s">
        <v>351</v>
      </c>
      <c r="F81" s="40" t="s">
        <v>82</v>
      </c>
      <c r="G81" s="44" t="s">
        <v>348</v>
      </c>
      <c r="H81" s="44" t="s">
        <v>649</v>
      </c>
      <c r="I81" s="44" t="s">
        <v>348</v>
      </c>
      <c r="J81" s="44" t="s">
        <v>712</v>
      </c>
    </row>
    <row r="82" spans="1:10" x14ac:dyDescent="0.25">
      <c r="A82" s="40" t="s">
        <v>324</v>
      </c>
      <c r="B82" s="41">
        <v>63</v>
      </c>
      <c r="C82" s="42">
        <v>5</v>
      </c>
      <c r="D82" s="43" t="s">
        <v>815</v>
      </c>
      <c r="E82" s="41" t="s">
        <v>34</v>
      </c>
      <c r="F82" s="40" t="s">
        <v>82</v>
      </c>
      <c r="G82" s="44" t="s">
        <v>132</v>
      </c>
      <c r="H82" s="44" t="s">
        <v>508</v>
      </c>
      <c r="I82" s="44" t="s">
        <v>132</v>
      </c>
      <c r="J82" s="44" t="s">
        <v>422</v>
      </c>
    </row>
    <row r="83" spans="1:10" x14ac:dyDescent="0.25">
      <c r="A83" s="40" t="s">
        <v>324</v>
      </c>
      <c r="B83" s="41">
        <v>63</v>
      </c>
      <c r="C83" s="42">
        <v>97</v>
      </c>
      <c r="D83" s="43" t="s">
        <v>816</v>
      </c>
      <c r="E83" s="41" t="s">
        <v>34</v>
      </c>
      <c r="F83" s="40" t="s">
        <v>89</v>
      </c>
      <c r="G83" s="44" t="s">
        <v>268</v>
      </c>
      <c r="H83" s="44" t="s">
        <v>513</v>
      </c>
      <c r="I83" s="44" t="s">
        <v>117</v>
      </c>
      <c r="J83" s="44" t="s">
        <v>575</v>
      </c>
    </row>
    <row r="84" spans="1:10" x14ac:dyDescent="0.25">
      <c r="A84" s="40" t="s">
        <v>883</v>
      </c>
      <c r="B84" s="41">
        <v>63</v>
      </c>
      <c r="C84" s="42">
        <v>99</v>
      </c>
      <c r="D84" s="43" t="s">
        <v>852</v>
      </c>
      <c r="E84" s="41" t="s">
        <v>464</v>
      </c>
      <c r="F84" s="40" t="s">
        <v>89</v>
      </c>
      <c r="G84" s="44" t="s">
        <v>274</v>
      </c>
      <c r="H84" s="44" t="s">
        <v>508</v>
      </c>
      <c r="I84" s="44" t="s">
        <v>42</v>
      </c>
      <c r="J84" s="44" t="s">
        <v>800</v>
      </c>
    </row>
    <row r="85" spans="1:10" x14ac:dyDescent="0.25">
      <c r="A85" s="40" t="s">
        <v>883</v>
      </c>
      <c r="B85" s="41">
        <v>63</v>
      </c>
      <c r="C85" s="42">
        <v>2</v>
      </c>
      <c r="D85" s="43" t="s">
        <v>853</v>
      </c>
      <c r="E85" s="41" t="s">
        <v>441</v>
      </c>
      <c r="F85" s="40" t="s">
        <v>73</v>
      </c>
      <c r="G85" s="44" t="s">
        <v>297</v>
      </c>
      <c r="H85" s="44" t="s">
        <v>654</v>
      </c>
      <c r="I85" s="44" t="s">
        <v>47</v>
      </c>
      <c r="J85" s="44" t="s">
        <v>214</v>
      </c>
    </row>
    <row r="86" spans="1:10" x14ac:dyDescent="0.25">
      <c r="A86" s="40" t="s">
        <v>883</v>
      </c>
      <c r="B86" s="41">
        <v>63</v>
      </c>
      <c r="C86" s="42">
        <v>25</v>
      </c>
      <c r="D86" s="43" t="s">
        <v>854</v>
      </c>
      <c r="E86" s="41" t="s">
        <v>431</v>
      </c>
      <c r="F86" s="40" t="s">
        <v>135</v>
      </c>
      <c r="G86" s="44" t="s">
        <v>84</v>
      </c>
      <c r="H86" s="44" t="s">
        <v>654</v>
      </c>
      <c r="I86" s="44" t="s">
        <v>84</v>
      </c>
      <c r="J86" s="44" t="s">
        <v>214</v>
      </c>
    </row>
    <row r="87" spans="1:10" x14ac:dyDescent="0.25">
      <c r="A87" s="40" t="s">
        <v>884</v>
      </c>
      <c r="B87" s="41">
        <v>63</v>
      </c>
      <c r="C87" s="42">
        <v>31</v>
      </c>
      <c r="D87" s="43" t="s">
        <v>869</v>
      </c>
      <c r="E87" s="41" t="s">
        <v>488</v>
      </c>
      <c r="F87" s="40" t="s">
        <v>82</v>
      </c>
      <c r="G87" s="44" t="s">
        <v>84</v>
      </c>
      <c r="H87" s="44" t="s">
        <v>17</v>
      </c>
      <c r="I87" s="44" t="s">
        <v>84</v>
      </c>
      <c r="J87" s="44" t="s">
        <v>239</v>
      </c>
    </row>
    <row r="88" spans="1:10" x14ac:dyDescent="0.25">
      <c r="A88" s="40" t="s">
        <v>884</v>
      </c>
      <c r="B88" s="41">
        <v>63</v>
      </c>
      <c r="C88" s="42">
        <v>88</v>
      </c>
      <c r="D88" s="43" t="s">
        <v>686</v>
      </c>
      <c r="E88" s="41" t="s">
        <v>478</v>
      </c>
      <c r="F88" s="40" t="s">
        <v>128</v>
      </c>
      <c r="G88" s="44" t="s">
        <v>513</v>
      </c>
      <c r="H88" s="44" t="s">
        <v>687</v>
      </c>
      <c r="I88" s="44" t="s">
        <v>870</v>
      </c>
      <c r="J88" s="44" t="s">
        <v>347</v>
      </c>
    </row>
    <row r="89" spans="1:10" x14ac:dyDescent="0.25">
      <c r="A89" s="40"/>
      <c r="B89" s="41"/>
      <c r="C89" s="42"/>
      <c r="D89" s="39" t="s">
        <v>940</v>
      </c>
      <c r="E89" s="41"/>
      <c r="F89" s="40"/>
      <c r="G89" s="44"/>
      <c r="H89" s="44"/>
      <c r="I89" s="44"/>
      <c r="J89" s="44"/>
    </row>
    <row r="90" spans="1:10" x14ac:dyDescent="0.25">
      <c r="A90" s="40"/>
      <c r="B90" s="41"/>
      <c r="C90" s="42"/>
      <c r="D90" s="39" t="s">
        <v>897</v>
      </c>
      <c r="E90" s="41"/>
      <c r="F90" s="40"/>
      <c r="G90" s="44"/>
      <c r="H90" s="44"/>
      <c r="I90" s="44"/>
      <c r="J90" s="44"/>
    </row>
    <row r="91" spans="1:10" x14ac:dyDescent="0.25">
      <c r="A91" s="40" t="s">
        <v>4</v>
      </c>
      <c r="B91" s="41">
        <v>63</v>
      </c>
      <c r="C91" s="42">
        <v>82</v>
      </c>
      <c r="D91" s="43" t="s">
        <v>717</v>
      </c>
      <c r="E91" s="41" t="s">
        <v>443</v>
      </c>
      <c r="F91" s="40" t="s">
        <v>53</v>
      </c>
      <c r="G91" s="44" t="s">
        <v>186</v>
      </c>
      <c r="H91" s="44" t="s">
        <v>23</v>
      </c>
      <c r="I91" s="44" t="s">
        <v>37</v>
      </c>
      <c r="J91" s="44" t="s">
        <v>509</v>
      </c>
    </row>
    <row r="92" spans="1:10" x14ac:dyDescent="0.25">
      <c r="A92" s="40" t="s">
        <v>4</v>
      </c>
      <c r="B92" s="41">
        <v>63</v>
      </c>
      <c r="C92" s="42">
        <v>42</v>
      </c>
      <c r="D92" s="43" t="s">
        <v>718</v>
      </c>
      <c r="E92" s="41" t="s">
        <v>14</v>
      </c>
      <c r="F92" s="40" t="s">
        <v>128</v>
      </c>
      <c r="G92" s="44" t="s">
        <v>719</v>
      </c>
      <c r="H92" s="44" t="s">
        <v>31</v>
      </c>
      <c r="I92" s="44" t="s">
        <v>255</v>
      </c>
      <c r="J92" s="44" t="s">
        <v>720</v>
      </c>
    </row>
    <row r="93" spans="1:10" x14ac:dyDescent="0.25">
      <c r="A93" s="40" t="s">
        <v>4</v>
      </c>
      <c r="B93" s="41">
        <v>63</v>
      </c>
      <c r="C93" s="42">
        <v>81</v>
      </c>
      <c r="D93" s="43" t="s">
        <v>721</v>
      </c>
      <c r="E93" s="41" t="s">
        <v>103</v>
      </c>
      <c r="F93" s="40" t="s">
        <v>82</v>
      </c>
      <c r="G93" s="44" t="s">
        <v>722</v>
      </c>
      <c r="H93" s="44" t="s">
        <v>508</v>
      </c>
      <c r="I93" s="44" t="s">
        <v>18</v>
      </c>
      <c r="J93" s="44" t="s">
        <v>720</v>
      </c>
    </row>
    <row r="94" spans="1:10" x14ac:dyDescent="0.25">
      <c r="A94" s="40" t="s">
        <v>4</v>
      </c>
      <c r="B94" s="41">
        <v>63</v>
      </c>
      <c r="C94" s="42">
        <v>34</v>
      </c>
      <c r="D94" s="43" t="s">
        <v>725</v>
      </c>
      <c r="E94" s="41" t="s">
        <v>131</v>
      </c>
      <c r="F94" s="40" t="s">
        <v>58</v>
      </c>
      <c r="G94" s="44" t="s">
        <v>357</v>
      </c>
      <c r="H94" s="44" t="s">
        <v>726</v>
      </c>
      <c r="I94" s="44" t="s">
        <v>326</v>
      </c>
      <c r="J94" s="44" t="s">
        <v>727</v>
      </c>
    </row>
    <row r="95" spans="1:10" x14ac:dyDescent="0.25">
      <c r="A95" s="40" t="s">
        <v>4</v>
      </c>
      <c r="B95" s="41">
        <v>63</v>
      </c>
      <c r="C95" s="42">
        <v>32</v>
      </c>
      <c r="D95" s="43" t="s">
        <v>728</v>
      </c>
      <c r="E95" s="41" t="s">
        <v>577</v>
      </c>
      <c r="F95" s="40" t="s">
        <v>89</v>
      </c>
      <c r="G95" s="44" t="s">
        <v>357</v>
      </c>
      <c r="H95" s="44" t="s">
        <v>513</v>
      </c>
      <c r="I95" s="44" t="s">
        <v>117</v>
      </c>
      <c r="J95" s="44" t="s">
        <v>43</v>
      </c>
    </row>
    <row r="96" spans="1:10" x14ac:dyDescent="0.25">
      <c r="A96" s="40" t="s">
        <v>4</v>
      </c>
      <c r="B96" s="41">
        <v>63</v>
      </c>
      <c r="C96" s="42">
        <v>17</v>
      </c>
      <c r="D96" s="43" t="s">
        <v>729</v>
      </c>
      <c r="E96" s="41">
        <v>2002</v>
      </c>
      <c r="F96" s="40" t="s">
        <v>73</v>
      </c>
      <c r="G96" s="44">
        <v>145</v>
      </c>
      <c r="H96" s="44">
        <v>77.5</v>
      </c>
      <c r="I96" s="44">
        <v>170</v>
      </c>
      <c r="J96" s="44">
        <v>392.5</v>
      </c>
    </row>
    <row r="97" spans="1:10" x14ac:dyDescent="0.25">
      <c r="A97" s="40" t="s">
        <v>4</v>
      </c>
      <c r="B97" s="41">
        <v>63</v>
      </c>
      <c r="C97" s="42">
        <v>96</v>
      </c>
      <c r="D97" s="43" t="s">
        <v>730</v>
      </c>
      <c r="E97" s="41" t="s">
        <v>14</v>
      </c>
      <c r="F97" s="40" t="s">
        <v>58</v>
      </c>
      <c r="G97" s="44" t="s">
        <v>55</v>
      </c>
      <c r="H97" s="44" t="s">
        <v>24</v>
      </c>
      <c r="I97" s="44" t="s">
        <v>357</v>
      </c>
      <c r="J97" s="44" t="s">
        <v>568</v>
      </c>
    </row>
    <row r="98" spans="1:10" x14ac:dyDescent="0.25">
      <c r="A98" s="40" t="s">
        <v>4</v>
      </c>
      <c r="B98" s="41">
        <v>63</v>
      </c>
      <c r="C98" s="42">
        <v>16</v>
      </c>
      <c r="D98" s="43" t="s">
        <v>731</v>
      </c>
      <c r="E98" s="41" t="s">
        <v>28</v>
      </c>
      <c r="F98" s="40" t="s">
        <v>128</v>
      </c>
      <c r="G98" s="44" t="s">
        <v>11</v>
      </c>
      <c r="H98" s="44" t="s">
        <v>24</v>
      </c>
      <c r="I98" s="44" t="s">
        <v>132</v>
      </c>
      <c r="J98" s="44" t="s">
        <v>239</v>
      </c>
    </row>
    <row r="99" spans="1:10" x14ac:dyDescent="0.25">
      <c r="A99" s="40" t="s">
        <v>4</v>
      </c>
      <c r="B99" s="41"/>
      <c r="C99" s="42">
        <v>52</v>
      </c>
      <c r="D99" s="43" t="s">
        <v>665</v>
      </c>
      <c r="E99" s="41">
        <v>2000</v>
      </c>
      <c r="F99" s="40" t="s">
        <v>89</v>
      </c>
      <c r="G99" s="44"/>
      <c r="H99" s="44">
        <v>85</v>
      </c>
      <c r="I99" s="44"/>
      <c r="J99" s="44"/>
    </row>
    <row r="100" spans="1:10" x14ac:dyDescent="0.25">
      <c r="A100" s="40" t="s">
        <v>875</v>
      </c>
      <c r="B100" s="41">
        <v>63</v>
      </c>
      <c r="C100" s="42">
        <v>80</v>
      </c>
      <c r="D100" s="43" t="s">
        <v>27</v>
      </c>
      <c r="E100" s="41" t="s">
        <v>28</v>
      </c>
      <c r="F100" s="40" t="s">
        <v>29</v>
      </c>
      <c r="G100" s="41" t="s">
        <v>30</v>
      </c>
      <c r="H100" s="41" t="s">
        <v>31</v>
      </c>
      <c r="I100" s="41" t="s">
        <v>30</v>
      </c>
      <c r="J100" s="41" t="s">
        <v>32</v>
      </c>
    </row>
    <row r="101" spans="1:10" x14ac:dyDescent="0.25">
      <c r="A101" s="75" t="s">
        <v>959</v>
      </c>
      <c r="B101" s="75"/>
      <c r="C101" s="75"/>
      <c r="D101" s="75"/>
      <c r="E101" s="75"/>
      <c r="F101" s="75"/>
      <c r="G101" s="75"/>
      <c r="H101" s="75"/>
      <c r="I101" s="75"/>
      <c r="J101" s="75"/>
    </row>
    <row r="102" spans="1:10" x14ac:dyDescent="0.25">
      <c r="A102" s="78" t="s">
        <v>943</v>
      </c>
      <c r="B102" s="78"/>
      <c r="C102" s="78"/>
      <c r="D102" s="78"/>
      <c r="E102" s="78"/>
      <c r="F102" s="78"/>
      <c r="G102" s="78"/>
      <c r="H102" s="78"/>
      <c r="I102" s="78"/>
      <c r="J102" s="78"/>
    </row>
    <row r="103" spans="1:10" x14ac:dyDescent="0.25">
      <c r="A103" s="78" t="s">
        <v>935</v>
      </c>
      <c r="B103" s="78"/>
      <c r="C103" s="78"/>
      <c r="D103" s="78"/>
      <c r="E103" s="78"/>
      <c r="F103" s="78"/>
      <c r="G103" s="78"/>
      <c r="H103" s="78"/>
      <c r="I103" s="78"/>
      <c r="J103" s="78"/>
    </row>
    <row r="104" spans="1:10" s="22" customFormat="1" x14ac:dyDescent="0.25">
      <c r="A104" s="77" t="s">
        <v>936</v>
      </c>
      <c r="B104" s="77"/>
      <c r="C104" s="77"/>
      <c r="D104" s="77"/>
      <c r="E104" s="77"/>
      <c r="F104" s="77"/>
      <c r="G104" s="77"/>
      <c r="H104" s="77"/>
      <c r="I104" s="77"/>
      <c r="J104" s="77"/>
    </row>
    <row r="105" spans="1:10" x14ac:dyDescent="0.25">
      <c r="A105" s="30" t="s">
        <v>0</v>
      </c>
      <c r="B105" s="30" t="s">
        <v>1</v>
      </c>
      <c r="C105" s="30" t="s">
        <v>931</v>
      </c>
      <c r="D105" s="37" t="s">
        <v>889</v>
      </c>
      <c r="E105" s="30" t="s">
        <v>890</v>
      </c>
      <c r="F105" s="30" t="s">
        <v>891</v>
      </c>
      <c r="G105" s="32" t="s">
        <v>874</v>
      </c>
      <c r="H105" s="32" t="s">
        <v>887</v>
      </c>
      <c r="I105" s="32" t="s">
        <v>888</v>
      </c>
      <c r="J105" s="32" t="s">
        <v>3</v>
      </c>
    </row>
    <row r="106" spans="1:10" s="22" customFormat="1" ht="15" customHeight="1" x14ac:dyDescent="0.25">
      <c r="A106" s="28"/>
      <c r="B106" s="28"/>
      <c r="C106" s="28"/>
      <c r="D106" s="38" t="s">
        <v>939</v>
      </c>
      <c r="E106" s="28"/>
      <c r="F106" s="28"/>
      <c r="G106" s="29"/>
      <c r="H106" s="29"/>
      <c r="I106" s="29"/>
      <c r="J106" s="29"/>
    </row>
    <row r="107" spans="1:10" x14ac:dyDescent="0.25">
      <c r="A107" s="40"/>
      <c r="B107" s="41"/>
      <c r="C107" s="42"/>
      <c r="D107" s="39" t="s">
        <v>898</v>
      </c>
      <c r="E107" s="41"/>
      <c r="F107" s="40"/>
      <c r="G107" s="41"/>
      <c r="H107" s="41"/>
      <c r="I107" s="41"/>
      <c r="J107" s="41"/>
    </row>
    <row r="108" spans="1:10" x14ac:dyDescent="0.25">
      <c r="A108" s="40" t="s">
        <v>324</v>
      </c>
      <c r="B108" s="41">
        <v>69</v>
      </c>
      <c r="C108" s="42">
        <v>64</v>
      </c>
      <c r="D108" s="43" t="s">
        <v>826</v>
      </c>
      <c r="E108" s="41">
        <v>2003</v>
      </c>
      <c r="F108" s="40" t="s">
        <v>73</v>
      </c>
      <c r="G108" s="44">
        <v>172.5</v>
      </c>
      <c r="H108" s="44">
        <v>90</v>
      </c>
      <c r="I108" s="44">
        <v>185</v>
      </c>
      <c r="J108" s="44">
        <v>447</v>
      </c>
    </row>
    <row r="109" spans="1:10" x14ac:dyDescent="0.25">
      <c r="A109" s="40" t="s">
        <v>324</v>
      </c>
      <c r="B109" s="41">
        <v>69</v>
      </c>
      <c r="C109" s="42">
        <v>69</v>
      </c>
      <c r="D109" s="43" t="s">
        <v>827</v>
      </c>
      <c r="E109" s="41">
        <v>2003</v>
      </c>
      <c r="F109" s="40" t="s">
        <v>53</v>
      </c>
      <c r="G109" s="44">
        <v>170</v>
      </c>
      <c r="H109" s="44">
        <v>97.5</v>
      </c>
      <c r="I109" s="44">
        <v>176</v>
      </c>
      <c r="J109" s="44">
        <v>443.5</v>
      </c>
    </row>
    <row r="110" spans="1:10" x14ac:dyDescent="0.25">
      <c r="A110" s="40" t="s">
        <v>324</v>
      </c>
      <c r="B110" s="41">
        <v>69</v>
      </c>
      <c r="C110" s="42">
        <v>14</v>
      </c>
      <c r="D110" s="43" t="s">
        <v>830</v>
      </c>
      <c r="E110" s="41">
        <v>2005</v>
      </c>
      <c r="F110" s="40" t="s">
        <v>89</v>
      </c>
      <c r="G110" s="44">
        <v>157.5</v>
      </c>
      <c r="H110" s="44">
        <v>67.5</v>
      </c>
      <c r="I110" s="44">
        <v>180</v>
      </c>
      <c r="J110" s="44">
        <v>405</v>
      </c>
    </row>
    <row r="111" spans="1:10" x14ac:dyDescent="0.25">
      <c r="A111" s="40" t="s">
        <v>324</v>
      </c>
      <c r="B111" s="41">
        <v>69</v>
      </c>
      <c r="C111" s="42">
        <v>22</v>
      </c>
      <c r="D111" s="43" t="s">
        <v>835</v>
      </c>
      <c r="E111" s="41" t="s">
        <v>77</v>
      </c>
      <c r="F111" s="40" t="s">
        <v>58</v>
      </c>
      <c r="G111" s="44" t="s">
        <v>132</v>
      </c>
      <c r="H111" s="44" t="s">
        <v>17</v>
      </c>
      <c r="I111" s="44" t="s">
        <v>186</v>
      </c>
      <c r="J111" s="44" t="s">
        <v>518</v>
      </c>
    </row>
    <row r="112" spans="1:10" x14ac:dyDescent="0.25">
      <c r="A112" s="40" t="s">
        <v>324</v>
      </c>
      <c r="B112" s="41">
        <v>69</v>
      </c>
      <c r="C112" s="42">
        <v>98</v>
      </c>
      <c r="D112" s="43" t="s">
        <v>836</v>
      </c>
      <c r="E112" s="41" t="s">
        <v>351</v>
      </c>
      <c r="F112" s="40" t="s">
        <v>89</v>
      </c>
      <c r="G112" s="44" t="s">
        <v>99</v>
      </c>
      <c r="H112" s="44" t="s">
        <v>31</v>
      </c>
      <c r="I112" s="44" t="s">
        <v>176</v>
      </c>
      <c r="J112" s="44" t="s">
        <v>19</v>
      </c>
    </row>
    <row r="113" spans="1:10" x14ac:dyDescent="0.25">
      <c r="A113" s="40" t="s">
        <v>324</v>
      </c>
      <c r="B113" s="41">
        <v>69</v>
      </c>
      <c r="C113" s="42">
        <v>72</v>
      </c>
      <c r="D113" s="43" t="s">
        <v>837</v>
      </c>
      <c r="E113" s="41" t="s">
        <v>7</v>
      </c>
      <c r="F113" s="40" t="s">
        <v>128</v>
      </c>
      <c r="G113" s="44" t="s">
        <v>274</v>
      </c>
      <c r="H113" s="44" t="s">
        <v>10</v>
      </c>
      <c r="I113" s="44" t="s">
        <v>161</v>
      </c>
      <c r="J113" s="44" t="s">
        <v>578</v>
      </c>
    </row>
    <row r="114" spans="1:10" x14ac:dyDescent="0.25">
      <c r="A114" s="40" t="s">
        <v>892</v>
      </c>
      <c r="B114" s="41">
        <v>69</v>
      </c>
      <c r="C114" s="42">
        <v>23</v>
      </c>
      <c r="D114" s="43" t="s">
        <v>791</v>
      </c>
      <c r="E114" s="41" t="s">
        <v>265</v>
      </c>
      <c r="F114" s="40" t="s">
        <v>89</v>
      </c>
      <c r="G114" s="44" t="s">
        <v>792</v>
      </c>
      <c r="H114" s="44" t="s">
        <v>654</v>
      </c>
      <c r="I114" s="44" t="s">
        <v>65</v>
      </c>
      <c r="J114" s="44" t="s">
        <v>793</v>
      </c>
    </row>
    <row r="115" spans="1:10" x14ac:dyDescent="0.25">
      <c r="A115" s="40" t="s">
        <v>892</v>
      </c>
      <c r="B115" s="41">
        <v>69</v>
      </c>
      <c r="C115" s="42">
        <v>39</v>
      </c>
      <c r="D115" s="43" t="s">
        <v>794</v>
      </c>
      <c r="E115" s="41">
        <v>2008</v>
      </c>
      <c r="F115" s="40" t="s">
        <v>73</v>
      </c>
      <c r="G115" s="44">
        <v>90</v>
      </c>
      <c r="H115" s="44">
        <v>47.5</v>
      </c>
      <c r="I115" s="44">
        <v>112.5</v>
      </c>
      <c r="J115" s="44">
        <v>250</v>
      </c>
    </row>
    <row r="116" spans="1:10" x14ac:dyDescent="0.25">
      <c r="A116" s="40" t="s">
        <v>875</v>
      </c>
      <c r="B116" s="41">
        <v>69</v>
      </c>
      <c r="C116" s="42">
        <v>87</v>
      </c>
      <c r="D116" s="43" t="s">
        <v>44</v>
      </c>
      <c r="E116" s="41" t="s">
        <v>45</v>
      </c>
      <c r="F116" s="40" t="s">
        <v>46</v>
      </c>
      <c r="G116" s="41" t="s">
        <v>47</v>
      </c>
      <c r="H116" s="41" t="s">
        <v>48</v>
      </c>
      <c r="I116" s="41" t="s">
        <v>49</v>
      </c>
      <c r="J116" s="41" t="s">
        <v>50</v>
      </c>
    </row>
    <row r="117" spans="1:10" x14ac:dyDescent="0.25">
      <c r="A117" s="40"/>
      <c r="B117" s="41"/>
      <c r="C117" s="42"/>
      <c r="D117" s="39" t="s">
        <v>940</v>
      </c>
      <c r="E117" s="41"/>
      <c r="F117" s="40"/>
      <c r="G117" s="41"/>
      <c r="H117" s="41"/>
      <c r="I117" s="41"/>
      <c r="J117" s="41"/>
    </row>
    <row r="118" spans="1:10" x14ac:dyDescent="0.25">
      <c r="A118" s="40"/>
      <c r="B118" s="41"/>
      <c r="C118" s="42"/>
      <c r="D118" s="39" t="s">
        <v>898</v>
      </c>
      <c r="E118" s="41"/>
      <c r="F118" s="40"/>
      <c r="G118" s="41"/>
      <c r="H118" s="41"/>
      <c r="I118" s="41"/>
      <c r="J118" s="41"/>
    </row>
    <row r="119" spans="1:10" x14ac:dyDescent="0.25">
      <c r="A119" s="40" t="s">
        <v>4</v>
      </c>
      <c r="B119" s="41">
        <v>69</v>
      </c>
      <c r="C119" s="42">
        <v>55</v>
      </c>
      <c r="D119" s="43" t="s">
        <v>751</v>
      </c>
      <c r="E119" s="41" t="s">
        <v>14</v>
      </c>
      <c r="F119" s="40" t="s">
        <v>89</v>
      </c>
      <c r="G119" s="44" t="s">
        <v>30</v>
      </c>
      <c r="H119" s="44" t="s">
        <v>41</v>
      </c>
      <c r="I119" s="44" t="s">
        <v>98</v>
      </c>
      <c r="J119" s="44" t="s">
        <v>752</v>
      </c>
    </row>
    <row r="120" spans="1:10" x14ac:dyDescent="0.25">
      <c r="A120" s="40" t="s">
        <v>4</v>
      </c>
      <c r="B120" s="41">
        <v>69</v>
      </c>
      <c r="C120" s="42">
        <v>94</v>
      </c>
      <c r="D120" s="43" t="s">
        <v>753</v>
      </c>
      <c r="E120" s="41" t="s">
        <v>145</v>
      </c>
      <c r="F120" s="40" t="s">
        <v>82</v>
      </c>
      <c r="G120" s="44" t="s">
        <v>186</v>
      </c>
      <c r="H120" s="44" t="s">
        <v>663</v>
      </c>
      <c r="I120" s="44" t="s">
        <v>754</v>
      </c>
      <c r="J120" s="44" t="s">
        <v>755</v>
      </c>
    </row>
    <row r="121" spans="1:10" x14ac:dyDescent="0.25">
      <c r="A121" s="40" t="s">
        <v>4</v>
      </c>
      <c r="B121" s="41">
        <v>69</v>
      </c>
      <c r="C121" s="42">
        <v>33</v>
      </c>
      <c r="D121" s="43" t="s">
        <v>671</v>
      </c>
      <c r="E121" s="41" t="s">
        <v>81</v>
      </c>
      <c r="F121" s="40" t="s">
        <v>89</v>
      </c>
      <c r="G121" s="44" t="s">
        <v>348</v>
      </c>
      <c r="H121" s="44" t="s">
        <v>513</v>
      </c>
      <c r="I121" s="44" t="s">
        <v>65</v>
      </c>
      <c r="J121" s="44" t="s">
        <v>703</v>
      </c>
    </row>
    <row r="122" spans="1:10" x14ac:dyDescent="0.25">
      <c r="A122" s="40" t="s">
        <v>4</v>
      </c>
      <c r="B122" s="41">
        <v>69</v>
      </c>
      <c r="C122" s="42">
        <v>61</v>
      </c>
      <c r="D122" s="43" t="s">
        <v>669</v>
      </c>
      <c r="E122" s="41" t="s">
        <v>88</v>
      </c>
      <c r="F122" s="40" t="s">
        <v>82</v>
      </c>
      <c r="G122" s="44" t="s">
        <v>132</v>
      </c>
      <c r="H122" s="44" t="s">
        <v>508</v>
      </c>
      <c r="I122" s="44" t="s">
        <v>132</v>
      </c>
      <c r="J122" s="44" t="s">
        <v>422</v>
      </c>
    </row>
    <row r="123" spans="1:10" x14ac:dyDescent="0.25">
      <c r="A123" s="40" t="s">
        <v>4</v>
      </c>
      <c r="B123" s="41">
        <v>76</v>
      </c>
      <c r="C123" s="42">
        <v>1</v>
      </c>
      <c r="D123" s="43" t="s">
        <v>765</v>
      </c>
      <c r="E123" s="41" t="s">
        <v>120</v>
      </c>
      <c r="F123" s="40" t="s">
        <v>58</v>
      </c>
      <c r="G123" s="44" t="s">
        <v>132</v>
      </c>
      <c r="H123" s="44" t="s">
        <v>513</v>
      </c>
      <c r="I123" s="44" t="s">
        <v>132</v>
      </c>
      <c r="J123" s="44" t="s">
        <v>714</v>
      </c>
    </row>
    <row r="124" spans="1:10" x14ac:dyDescent="0.25">
      <c r="A124" s="40" t="s">
        <v>4</v>
      </c>
      <c r="B124" s="41">
        <v>69</v>
      </c>
      <c r="C124" s="42">
        <v>12</v>
      </c>
      <c r="D124" s="43" t="s">
        <v>672</v>
      </c>
      <c r="E124" s="41" t="s">
        <v>14</v>
      </c>
      <c r="F124" s="40" t="s">
        <v>128</v>
      </c>
      <c r="G124" s="44" t="s">
        <v>99</v>
      </c>
      <c r="H124" s="44" t="s">
        <v>10</v>
      </c>
      <c r="I124" s="44" t="s">
        <v>268</v>
      </c>
      <c r="J124" s="44" t="s">
        <v>217</v>
      </c>
    </row>
    <row r="125" spans="1:10" x14ac:dyDescent="0.25">
      <c r="A125" s="40" t="s">
        <v>4</v>
      </c>
      <c r="B125" s="41">
        <v>69</v>
      </c>
      <c r="C125" s="42">
        <v>27</v>
      </c>
      <c r="D125" s="43" t="s">
        <v>669</v>
      </c>
      <c r="E125" s="41" t="s">
        <v>88</v>
      </c>
      <c r="F125" s="40" t="s">
        <v>82</v>
      </c>
      <c r="G125" s="41"/>
      <c r="H125" s="41" t="s">
        <v>508</v>
      </c>
      <c r="I125" s="41"/>
      <c r="J125" s="41"/>
    </row>
    <row r="126" spans="1:10" x14ac:dyDescent="0.25">
      <c r="A126" s="40" t="s">
        <v>4</v>
      </c>
      <c r="B126" s="41">
        <v>69</v>
      </c>
      <c r="C126" s="42">
        <v>10</v>
      </c>
      <c r="D126" s="43" t="s">
        <v>670</v>
      </c>
      <c r="E126" s="41" t="s">
        <v>28</v>
      </c>
      <c r="F126" s="40" t="s">
        <v>128</v>
      </c>
      <c r="G126" s="41"/>
      <c r="H126" s="41" t="s">
        <v>508</v>
      </c>
      <c r="I126" s="41"/>
      <c r="J126" s="41"/>
    </row>
    <row r="127" spans="1:10" x14ac:dyDescent="0.25">
      <c r="A127" s="40" t="s">
        <v>4</v>
      </c>
      <c r="B127" s="41">
        <v>69</v>
      </c>
      <c r="C127" s="42">
        <v>33</v>
      </c>
      <c r="D127" s="43" t="s">
        <v>671</v>
      </c>
      <c r="E127" s="41" t="s">
        <v>81</v>
      </c>
      <c r="F127" s="40" t="s">
        <v>89</v>
      </c>
      <c r="G127" s="41"/>
      <c r="H127" s="41" t="s">
        <v>513</v>
      </c>
      <c r="I127" s="41"/>
      <c r="J127" s="41"/>
    </row>
    <row r="128" spans="1:10" x14ac:dyDescent="0.25">
      <c r="A128" s="40" t="s">
        <v>4</v>
      </c>
      <c r="B128" s="41">
        <v>69</v>
      </c>
      <c r="C128" s="42">
        <v>12</v>
      </c>
      <c r="D128" s="43" t="s">
        <v>672</v>
      </c>
      <c r="E128" s="41" t="s">
        <v>14</v>
      </c>
      <c r="F128" s="40" t="s">
        <v>128</v>
      </c>
      <c r="G128" s="41"/>
      <c r="H128" s="41" t="s">
        <v>10</v>
      </c>
      <c r="I128" s="41"/>
      <c r="J128" s="41"/>
    </row>
    <row r="129" spans="1:10" x14ac:dyDescent="0.25">
      <c r="A129" s="40" t="s">
        <v>883</v>
      </c>
      <c r="B129" s="41">
        <v>69</v>
      </c>
      <c r="C129" s="42">
        <v>20</v>
      </c>
      <c r="D129" s="43" t="s">
        <v>861</v>
      </c>
      <c r="E129" s="41" t="s">
        <v>149</v>
      </c>
      <c r="F129" s="40" t="s">
        <v>73</v>
      </c>
      <c r="G129" s="44" t="s">
        <v>357</v>
      </c>
      <c r="H129" s="44" t="s">
        <v>783</v>
      </c>
      <c r="I129" s="44" t="s">
        <v>30</v>
      </c>
      <c r="J129" s="44" t="s">
        <v>862</v>
      </c>
    </row>
    <row r="130" spans="1:10" x14ac:dyDescent="0.25">
      <c r="A130" s="40" t="s">
        <v>883</v>
      </c>
      <c r="B130" s="41">
        <v>69</v>
      </c>
      <c r="C130" s="42">
        <v>54</v>
      </c>
      <c r="D130" s="43" t="s">
        <v>863</v>
      </c>
      <c r="E130" s="41" t="s">
        <v>441</v>
      </c>
      <c r="F130" s="40" t="s">
        <v>89</v>
      </c>
      <c r="G130" s="44" t="s">
        <v>90</v>
      </c>
      <c r="H130" s="44" t="s">
        <v>663</v>
      </c>
      <c r="I130" s="44" t="s">
        <v>161</v>
      </c>
      <c r="J130" s="44" t="s">
        <v>327</v>
      </c>
    </row>
    <row r="131" spans="1:10" x14ac:dyDescent="0.25">
      <c r="A131" s="40" t="s">
        <v>883</v>
      </c>
      <c r="B131" s="41">
        <v>69</v>
      </c>
      <c r="C131" s="42">
        <v>90</v>
      </c>
      <c r="D131" s="43" t="s">
        <v>867</v>
      </c>
      <c r="E131" s="41" t="s">
        <v>149</v>
      </c>
      <c r="F131" s="40" t="s">
        <v>58</v>
      </c>
      <c r="G131" s="44" t="s">
        <v>252</v>
      </c>
      <c r="H131" s="44" t="s">
        <v>10</v>
      </c>
      <c r="I131" s="44" t="s">
        <v>30</v>
      </c>
      <c r="J131" s="44" t="s">
        <v>197</v>
      </c>
    </row>
    <row r="132" spans="1:10" x14ac:dyDescent="0.25">
      <c r="A132" s="40" t="s">
        <v>884</v>
      </c>
      <c r="B132" s="41">
        <v>69</v>
      </c>
      <c r="C132" s="42">
        <v>65</v>
      </c>
      <c r="D132" s="43" t="s">
        <v>871</v>
      </c>
      <c r="E132" s="41" t="s">
        <v>488</v>
      </c>
      <c r="F132" s="40" t="s">
        <v>135</v>
      </c>
      <c r="G132" s="44" t="s">
        <v>66</v>
      </c>
      <c r="H132" s="44" t="s">
        <v>650</v>
      </c>
      <c r="I132" s="44" t="s">
        <v>84</v>
      </c>
      <c r="J132" s="44" t="s">
        <v>155</v>
      </c>
    </row>
    <row r="133" spans="1:10" x14ac:dyDescent="0.25">
      <c r="A133" s="75" t="s">
        <v>959</v>
      </c>
      <c r="B133" s="75"/>
      <c r="C133" s="75"/>
      <c r="D133" s="75"/>
      <c r="E133" s="75"/>
      <c r="F133" s="75"/>
      <c r="G133" s="75"/>
      <c r="H133" s="75"/>
      <c r="I133" s="75"/>
      <c r="J133" s="75"/>
    </row>
    <row r="134" spans="1:10" x14ac:dyDescent="0.25">
      <c r="A134" s="78" t="s">
        <v>941</v>
      </c>
      <c r="B134" s="78"/>
      <c r="C134" s="78"/>
      <c r="D134" s="78"/>
      <c r="E134" s="78"/>
      <c r="F134" s="78"/>
      <c r="G134" s="78"/>
      <c r="H134" s="78"/>
      <c r="I134" s="78"/>
      <c r="J134" s="78"/>
    </row>
    <row r="135" spans="1:10" x14ac:dyDescent="0.25">
      <c r="A135" s="78" t="s">
        <v>935</v>
      </c>
      <c r="B135" s="78"/>
      <c r="C135" s="78"/>
      <c r="D135" s="78"/>
      <c r="E135" s="78"/>
      <c r="F135" s="78"/>
      <c r="G135" s="78"/>
      <c r="H135" s="78"/>
      <c r="I135" s="78"/>
      <c r="J135" s="78"/>
    </row>
    <row r="136" spans="1:10" s="22" customFormat="1" x14ac:dyDescent="0.25">
      <c r="A136" s="77" t="s">
        <v>936</v>
      </c>
      <c r="B136" s="77"/>
      <c r="C136" s="77"/>
      <c r="D136" s="77"/>
      <c r="E136" s="77"/>
      <c r="F136" s="77"/>
      <c r="G136" s="77"/>
      <c r="H136" s="77"/>
      <c r="I136" s="77"/>
      <c r="J136" s="77"/>
    </row>
    <row r="137" spans="1:10" x14ac:dyDescent="0.25">
      <c r="A137" s="30" t="s">
        <v>0</v>
      </c>
      <c r="B137" s="30" t="s">
        <v>1</v>
      </c>
      <c r="C137" s="30" t="s">
        <v>931</v>
      </c>
      <c r="D137" s="37" t="s">
        <v>889</v>
      </c>
      <c r="E137" s="30" t="s">
        <v>890</v>
      </c>
      <c r="F137" s="30" t="s">
        <v>891</v>
      </c>
      <c r="G137" s="32" t="s">
        <v>874</v>
      </c>
      <c r="H137" s="32" t="s">
        <v>887</v>
      </c>
      <c r="I137" s="32" t="s">
        <v>888</v>
      </c>
      <c r="J137" s="32" t="s">
        <v>3</v>
      </c>
    </row>
    <row r="138" spans="1:10" s="22" customFormat="1" ht="15" customHeight="1" x14ac:dyDescent="0.25">
      <c r="A138" s="28"/>
      <c r="B138" s="28"/>
      <c r="C138" s="28"/>
      <c r="D138" s="38" t="s">
        <v>939</v>
      </c>
      <c r="E138" s="28"/>
      <c r="F138" s="28"/>
      <c r="G138" s="29"/>
      <c r="H138" s="29"/>
      <c r="I138" s="29"/>
      <c r="J138" s="29"/>
    </row>
    <row r="139" spans="1:10" x14ac:dyDescent="0.25">
      <c r="A139" s="40"/>
      <c r="B139" s="41"/>
      <c r="C139" s="42"/>
      <c r="D139" s="39" t="s">
        <v>899</v>
      </c>
      <c r="E139" s="41"/>
      <c r="F139" s="40"/>
      <c r="G139" s="41"/>
      <c r="H139" s="41"/>
      <c r="I139" s="41"/>
      <c r="J139" s="41"/>
    </row>
    <row r="140" spans="1:10" x14ac:dyDescent="0.25">
      <c r="A140" s="40" t="s">
        <v>324</v>
      </c>
      <c r="B140" s="41">
        <v>76</v>
      </c>
      <c r="C140" s="42">
        <v>18</v>
      </c>
      <c r="D140" s="43" t="s">
        <v>838</v>
      </c>
      <c r="E140" s="41" t="s">
        <v>351</v>
      </c>
      <c r="F140" s="40" t="s">
        <v>73</v>
      </c>
      <c r="G140" s="44" t="s">
        <v>18</v>
      </c>
      <c r="H140" s="44" t="s">
        <v>31</v>
      </c>
      <c r="I140" s="44" t="s">
        <v>196</v>
      </c>
      <c r="J140" s="44" t="s">
        <v>839</v>
      </c>
    </row>
    <row r="141" spans="1:10" x14ac:dyDescent="0.25">
      <c r="A141" s="40" t="s">
        <v>324</v>
      </c>
      <c r="B141" s="41">
        <v>76</v>
      </c>
      <c r="C141" s="42">
        <v>86</v>
      </c>
      <c r="D141" s="43" t="s">
        <v>840</v>
      </c>
      <c r="E141" s="41" t="s">
        <v>7</v>
      </c>
      <c r="F141" s="40" t="s">
        <v>53</v>
      </c>
      <c r="G141" s="44" t="s">
        <v>42</v>
      </c>
      <c r="H141" s="44" t="s">
        <v>31</v>
      </c>
      <c r="I141" s="44" t="s">
        <v>196</v>
      </c>
      <c r="J141" s="44" t="s">
        <v>841</v>
      </c>
    </row>
    <row r="142" spans="1:10" x14ac:dyDescent="0.25">
      <c r="A142" s="40" t="s">
        <v>324</v>
      </c>
      <c r="B142" s="41">
        <v>69</v>
      </c>
      <c r="C142" s="42">
        <v>50</v>
      </c>
      <c r="D142" s="43" t="s">
        <v>828</v>
      </c>
      <c r="E142" s="41" t="s">
        <v>7</v>
      </c>
      <c r="F142" s="40" t="s">
        <v>82</v>
      </c>
      <c r="G142" s="44" t="s">
        <v>42</v>
      </c>
      <c r="H142" s="44" t="s">
        <v>36</v>
      </c>
      <c r="I142" s="44" t="s">
        <v>709</v>
      </c>
      <c r="J142" s="44" t="s">
        <v>829</v>
      </c>
    </row>
    <row r="143" spans="1:10" x14ac:dyDescent="0.25">
      <c r="A143" s="40" t="s">
        <v>324</v>
      </c>
      <c r="B143" s="41">
        <v>76</v>
      </c>
      <c r="C143" s="42">
        <v>68</v>
      </c>
      <c r="D143" s="43" t="s">
        <v>843</v>
      </c>
      <c r="E143" s="41">
        <v>2005</v>
      </c>
      <c r="F143" s="40" t="s">
        <v>73</v>
      </c>
      <c r="G143" s="44">
        <v>165</v>
      </c>
      <c r="H143" s="44">
        <v>80</v>
      </c>
      <c r="I143" s="44">
        <v>175</v>
      </c>
      <c r="J143" s="44">
        <v>420</v>
      </c>
    </row>
    <row r="144" spans="1:10" x14ac:dyDescent="0.25">
      <c r="A144" s="40" t="s">
        <v>324</v>
      </c>
      <c r="B144" s="41">
        <v>76</v>
      </c>
      <c r="C144" s="42">
        <v>78</v>
      </c>
      <c r="D144" s="43" t="s">
        <v>844</v>
      </c>
      <c r="E144" s="41" t="s">
        <v>34</v>
      </c>
      <c r="F144" s="40" t="s">
        <v>128</v>
      </c>
      <c r="G144" s="44" t="s">
        <v>18</v>
      </c>
      <c r="H144" s="44" t="s">
        <v>31</v>
      </c>
      <c r="I144" s="44" t="s">
        <v>117</v>
      </c>
      <c r="J144" s="44" t="s">
        <v>236</v>
      </c>
    </row>
    <row r="145" spans="1:10" x14ac:dyDescent="0.25">
      <c r="A145" s="40" t="s">
        <v>324</v>
      </c>
      <c r="B145" s="41">
        <v>76</v>
      </c>
      <c r="C145" s="42">
        <v>38</v>
      </c>
      <c r="D145" s="43" t="s">
        <v>845</v>
      </c>
      <c r="E145" s="41" t="s">
        <v>7</v>
      </c>
      <c r="F145" s="40" t="s">
        <v>89</v>
      </c>
      <c r="G145" s="44" t="s">
        <v>47</v>
      </c>
      <c r="H145" s="44" t="s">
        <v>41</v>
      </c>
      <c r="I145" s="44" t="s">
        <v>16</v>
      </c>
      <c r="J145" s="44" t="s">
        <v>846</v>
      </c>
    </row>
    <row r="146" spans="1:10" x14ac:dyDescent="0.25">
      <c r="A146" s="40" t="s">
        <v>883</v>
      </c>
      <c r="B146" s="41">
        <v>76</v>
      </c>
      <c r="C146" s="42">
        <v>13</v>
      </c>
      <c r="D146" s="43" t="s">
        <v>868</v>
      </c>
      <c r="E146" s="41">
        <v>1983</v>
      </c>
      <c r="F146" s="40" t="s">
        <v>73</v>
      </c>
      <c r="G146" s="44">
        <v>156</v>
      </c>
      <c r="H146" s="44">
        <v>80.5</v>
      </c>
      <c r="I146" s="44">
        <v>170.5</v>
      </c>
      <c r="J146" s="44">
        <v>407.5</v>
      </c>
    </row>
    <row r="147" spans="1:10" x14ac:dyDescent="0.25">
      <c r="A147" s="40" t="s">
        <v>883</v>
      </c>
      <c r="B147" s="41">
        <v>69</v>
      </c>
      <c r="C147" s="42">
        <v>8</v>
      </c>
      <c r="D147" s="43" t="s">
        <v>864</v>
      </c>
      <c r="E147" s="41" t="s">
        <v>431</v>
      </c>
      <c r="F147" s="40" t="s">
        <v>58</v>
      </c>
      <c r="G147" s="44" t="s">
        <v>90</v>
      </c>
      <c r="H147" s="44" t="s">
        <v>24</v>
      </c>
      <c r="I147" s="44" t="s">
        <v>865</v>
      </c>
      <c r="J147" s="44" t="s">
        <v>866</v>
      </c>
    </row>
    <row r="148" spans="1:10" x14ac:dyDescent="0.25">
      <c r="A148" s="40" t="s">
        <v>884</v>
      </c>
      <c r="B148" s="41">
        <v>76</v>
      </c>
      <c r="C148" s="42">
        <v>7</v>
      </c>
      <c r="D148" s="43" t="s">
        <v>872</v>
      </c>
      <c r="E148" s="41" t="s">
        <v>485</v>
      </c>
      <c r="F148" s="40" t="s">
        <v>141</v>
      </c>
      <c r="G148" s="44" t="s">
        <v>132</v>
      </c>
      <c r="H148" s="44" t="s">
        <v>706</v>
      </c>
      <c r="I148" s="44" t="s">
        <v>158</v>
      </c>
      <c r="J148" s="44" t="s">
        <v>873</v>
      </c>
    </row>
    <row r="149" spans="1:10" x14ac:dyDescent="0.25">
      <c r="A149" s="40" t="s">
        <v>892</v>
      </c>
      <c r="B149" s="41">
        <v>76</v>
      </c>
      <c r="C149" s="42">
        <v>56</v>
      </c>
      <c r="D149" s="43" t="s">
        <v>679</v>
      </c>
      <c r="E149" s="41" t="s">
        <v>246</v>
      </c>
      <c r="F149" s="40" t="s">
        <v>89</v>
      </c>
      <c r="G149" s="44" t="s">
        <v>792</v>
      </c>
      <c r="H149" s="44" t="s">
        <v>663</v>
      </c>
      <c r="I149" s="44" t="s">
        <v>795</v>
      </c>
      <c r="J149" s="44" t="s">
        <v>796</v>
      </c>
    </row>
    <row r="150" spans="1:10" x14ac:dyDescent="0.25">
      <c r="A150" s="40" t="s">
        <v>892</v>
      </c>
      <c r="B150" s="41">
        <v>76</v>
      </c>
      <c r="C150" s="42">
        <v>56</v>
      </c>
      <c r="D150" s="43" t="s">
        <v>679</v>
      </c>
      <c r="E150" s="41" t="s">
        <v>246</v>
      </c>
      <c r="F150" s="40" t="s">
        <v>89</v>
      </c>
      <c r="G150" s="41"/>
      <c r="H150" s="41" t="s">
        <v>663</v>
      </c>
      <c r="I150" s="41"/>
      <c r="J150" s="41"/>
    </row>
    <row r="151" spans="1:10" x14ac:dyDescent="0.25">
      <c r="A151" s="40"/>
      <c r="B151" s="41"/>
      <c r="C151" s="42"/>
      <c r="D151" s="38" t="s">
        <v>940</v>
      </c>
      <c r="E151" s="41"/>
      <c r="F151" s="40"/>
      <c r="G151" s="41"/>
      <c r="H151" s="41"/>
      <c r="I151" s="41"/>
      <c r="J151" s="41"/>
    </row>
    <row r="152" spans="1:10" x14ac:dyDescent="0.25">
      <c r="A152" s="40"/>
      <c r="B152" s="41"/>
      <c r="C152" s="42"/>
      <c r="D152" s="38" t="s">
        <v>899</v>
      </c>
      <c r="E152" s="41"/>
      <c r="F152" s="40"/>
      <c r="G152" s="41"/>
      <c r="H152" s="41"/>
      <c r="I152" s="41"/>
      <c r="J152" s="41"/>
    </row>
    <row r="153" spans="1:10" x14ac:dyDescent="0.25">
      <c r="A153" s="40" t="s">
        <v>4</v>
      </c>
      <c r="B153" s="41">
        <v>84</v>
      </c>
      <c r="C153" s="42">
        <v>45</v>
      </c>
      <c r="D153" s="43" t="s">
        <v>733</v>
      </c>
      <c r="E153" s="41">
        <v>1991</v>
      </c>
      <c r="F153" s="40" t="s">
        <v>53</v>
      </c>
      <c r="G153" s="44">
        <v>195</v>
      </c>
      <c r="H153" s="44">
        <v>110</v>
      </c>
      <c r="I153" s="44">
        <v>190</v>
      </c>
      <c r="J153" s="44">
        <v>495</v>
      </c>
    </row>
    <row r="154" spans="1:10" x14ac:dyDescent="0.25">
      <c r="A154" s="40" t="s">
        <v>4</v>
      </c>
      <c r="B154" s="41">
        <v>76</v>
      </c>
      <c r="C154" s="42">
        <v>73</v>
      </c>
      <c r="D154" s="43" t="s">
        <v>756</v>
      </c>
      <c r="E154" s="41" t="s">
        <v>28</v>
      </c>
      <c r="F154" s="40" t="s">
        <v>73</v>
      </c>
      <c r="G154" s="44" t="s">
        <v>18</v>
      </c>
      <c r="H154" s="44" t="s">
        <v>36</v>
      </c>
      <c r="I154" s="44" t="s">
        <v>333</v>
      </c>
      <c r="J154" s="44" t="s">
        <v>757</v>
      </c>
    </row>
    <row r="155" spans="1:10" x14ac:dyDescent="0.25">
      <c r="A155" s="40" t="s">
        <v>4</v>
      </c>
      <c r="B155" s="41">
        <v>76</v>
      </c>
      <c r="C155" s="42">
        <v>11</v>
      </c>
      <c r="D155" s="43" t="s">
        <v>758</v>
      </c>
      <c r="E155" s="41" t="s">
        <v>577</v>
      </c>
      <c r="F155" s="40" t="s">
        <v>89</v>
      </c>
      <c r="G155" s="44" t="s">
        <v>105</v>
      </c>
      <c r="H155" s="44" t="s">
        <v>508</v>
      </c>
      <c r="I155" s="44" t="s">
        <v>98</v>
      </c>
      <c r="J155" s="44" t="s">
        <v>757</v>
      </c>
    </row>
    <row r="156" spans="1:10" x14ac:dyDescent="0.25">
      <c r="A156" s="40" t="s">
        <v>4</v>
      </c>
      <c r="B156" s="41">
        <v>76</v>
      </c>
      <c r="C156" s="42">
        <v>26</v>
      </c>
      <c r="D156" s="43" t="s">
        <v>759</v>
      </c>
      <c r="E156" s="41" t="s">
        <v>14</v>
      </c>
      <c r="F156" s="40" t="s">
        <v>53</v>
      </c>
      <c r="G156" s="44" t="s">
        <v>255</v>
      </c>
      <c r="H156" s="44" t="s">
        <v>508</v>
      </c>
      <c r="I156" s="44" t="s">
        <v>255</v>
      </c>
      <c r="J156" s="44" t="s">
        <v>757</v>
      </c>
    </row>
    <row r="157" spans="1:10" x14ac:dyDescent="0.25">
      <c r="A157" s="40" t="s">
        <v>4</v>
      </c>
      <c r="B157" s="41">
        <v>76</v>
      </c>
      <c r="C157" s="42">
        <v>58</v>
      </c>
      <c r="D157" s="43" t="s">
        <v>760</v>
      </c>
      <c r="E157" s="41" t="s">
        <v>527</v>
      </c>
      <c r="F157" s="40" t="s">
        <v>141</v>
      </c>
      <c r="G157" s="44" t="s">
        <v>348</v>
      </c>
      <c r="H157" s="44" t="s">
        <v>706</v>
      </c>
      <c r="I157" s="44" t="s">
        <v>105</v>
      </c>
      <c r="J157" s="44" t="s">
        <v>761</v>
      </c>
    </row>
    <row r="158" spans="1:10" x14ac:dyDescent="0.25">
      <c r="A158" s="40" t="s">
        <v>4</v>
      </c>
      <c r="B158" s="41">
        <v>76</v>
      </c>
      <c r="C158" s="42">
        <v>74</v>
      </c>
      <c r="D158" s="43" t="s">
        <v>762</v>
      </c>
      <c r="E158" s="41" t="s">
        <v>145</v>
      </c>
      <c r="F158" s="40" t="s">
        <v>141</v>
      </c>
      <c r="G158" s="44" t="s">
        <v>117</v>
      </c>
      <c r="H158" s="44" t="s">
        <v>17</v>
      </c>
      <c r="I158" s="44" t="s">
        <v>763</v>
      </c>
      <c r="J158" s="44" t="s">
        <v>764</v>
      </c>
    </row>
    <row r="159" spans="1:10" x14ac:dyDescent="0.25">
      <c r="A159" s="40" t="s">
        <v>4</v>
      </c>
      <c r="B159" s="41">
        <v>76</v>
      </c>
      <c r="C159" s="42">
        <v>43</v>
      </c>
      <c r="D159" s="43" t="s">
        <v>766</v>
      </c>
      <c r="E159" s="41" t="s">
        <v>103</v>
      </c>
      <c r="F159" s="40" t="s">
        <v>128</v>
      </c>
      <c r="G159" s="44" t="s">
        <v>274</v>
      </c>
      <c r="H159" s="44" t="s">
        <v>10</v>
      </c>
      <c r="I159" s="44" t="s">
        <v>47</v>
      </c>
      <c r="J159" s="44" t="s">
        <v>242</v>
      </c>
    </row>
    <row r="160" spans="1:10" x14ac:dyDescent="0.25">
      <c r="A160" s="40" t="s">
        <v>4</v>
      </c>
      <c r="B160" s="41">
        <v>76</v>
      </c>
      <c r="C160" s="42">
        <v>83</v>
      </c>
      <c r="D160" s="43" t="s">
        <v>673</v>
      </c>
      <c r="E160" s="41" t="s">
        <v>145</v>
      </c>
      <c r="F160" s="40" t="s">
        <v>141</v>
      </c>
      <c r="G160" s="41"/>
      <c r="H160" s="41" t="s">
        <v>17</v>
      </c>
      <c r="I160" s="41"/>
      <c r="J160" s="41"/>
    </row>
    <row r="161" spans="1:11" x14ac:dyDescent="0.25">
      <c r="A161" s="40" t="s">
        <v>4</v>
      </c>
      <c r="B161" s="41">
        <v>76</v>
      </c>
      <c r="C161" s="42">
        <v>9</v>
      </c>
      <c r="D161" s="43" t="s">
        <v>674</v>
      </c>
      <c r="E161" s="41" t="s">
        <v>103</v>
      </c>
      <c r="F161" s="40" t="s">
        <v>128</v>
      </c>
      <c r="G161" s="41"/>
      <c r="H161" s="41" t="s">
        <v>10</v>
      </c>
      <c r="I161" s="41"/>
      <c r="J161" s="41"/>
    </row>
    <row r="162" spans="1:11" x14ac:dyDescent="0.25">
      <c r="A162" s="75" t="s">
        <v>959</v>
      </c>
      <c r="B162" s="75"/>
      <c r="C162" s="75"/>
      <c r="D162" s="75"/>
      <c r="E162" s="75"/>
      <c r="F162" s="75"/>
      <c r="G162" s="75"/>
      <c r="H162" s="75"/>
      <c r="I162" s="75"/>
      <c r="J162" s="75"/>
    </row>
    <row r="163" spans="1:11" x14ac:dyDescent="0.25">
      <c r="A163" s="78" t="s">
        <v>944</v>
      </c>
      <c r="B163" s="78"/>
      <c r="C163" s="78"/>
      <c r="D163" s="78"/>
      <c r="E163" s="78"/>
      <c r="F163" s="78"/>
      <c r="G163" s="78"/>
      <c r="H163" s="78"/>
      <c r="I163" s="78"/>
      <c r="J163" s="78"/>
    </row>
    <row r="164" spans="1:11" x14ac:dyDescent="0.25">
      <c r="A164" s="78" t="s">
        <v>935</v>
      </c>
      <c r="B164" s="78"/>
      <c r="C164" s="78"/>
      <c r="D164" s="78"/>
      <c r="E164" s="78"/>
      <c r="F164" s="78"/>
      <c r="G164" s="78"/>
      <c r="H164" s="78"/>
      <c r="I164" s="78"/>
      <c r="J164" s="78"/>
    </row>
    <row r="165" spans="1:11" s="22" customFormat="1" x14ac:dyDescent="0.25">
      <c r="A165" s="77" t="s">
        <v>936</v>
      </c>
      <c r="B165" s="77"/>
      <c r="C165" s="77"/>
      <c r="D165" s="77"/>
      <c r="E165" s="77"/>
      <c r="F165" s="77"/>
      <c r="G165" s="77"/>
      <c r="H165" s="77"/>
      <c r="I165" s="77"/>
      <c r="J165" s="77"/>
    </row>
    <row r="166" spans="1:11" x14ac:dyDescent="0.25">
      <c r="A166" s="30" t="s">
        <v>0</v>
      </c>
      <c r="B166" s="30" t="s">
        <v>1</v>
      </c>
      <c r="C166" s="30" t="s">
        <v>931</v>
      </c>
      <c r="D166" s="37" t="s">
        <v>889</v>
      </c>
      <c r="E166" s="30" t="s">
        <v>890</v>
      </c>
      <c r="F166" s="30" t="s">
        <v>891</v>
      </c>
      <c r="G166" s="32" t="s">
        <v>874</v>
      </c>
      <c r="H166" s="32" t="s">
        <v>887</v>
      </c>
      <c r="I166" s="32" t="s">
        <v>888</v>
      </c>
      <c r="J166" s="32" t="s">
        <v>3</v>
      </c>
    </row>
    <row r="167" spans="1:11" s="22" customFormat="1" ht="15" customHeight="1" x14ac:dyDescent="0.25">
      <c r="A167" s="28"/>
      <c r="B167" s="28"/>
      <c r="C167" s="28"/>
      <c r="D167" s="38" t="s">
        <v>939</v>
      </c>
      <c r="E167" s="28"/>
      <c r="F167" s="28"/>
      <c r="G167" s="29"/>
      <c r="H167" s="29"/>
      <c r="I167" s="29"/>
      <c r="J167" s="29"/>
    </row>
    <row r="168" spans="1:11" x14ac:dyDescent="0.25">
      <c r="A168" s="40"/>
      <c r="B168" s="41"/>
      <c r="C168" s="42"/>
      <c r="D168" s="39" t="s">
        <v>900</v>
      </c>
      <c r="E168" s="41"/>
      <c r="F168" s="40"/>
      <c r="G168" s="41"/>
      <c r="H168" s="41"/>
      <c r="I168" s="41"/>
      <c r="J168" s="41"/>
    </row>
    <row r="169" spans="1:11" x14ac:dyDescent="0.25">
      <c r="A169" s="40" t="s">
        <v>4</v>
      </c>
      <c r="B169" s="41">
        <v>84</v>
      </c>
      <c r="C169" s="42">
        <v>21</v>
      </c>
      <c r="D169" s="43" t="s">
        <v>732</v>
      </c>
      <c r="E169" s="41" t="s">
        <v>69</v>
      </c>
      <c r="F169" s="40" t="s">
        <v>58</v>
      </c>
      <c r="G169" s="44" t="s">
        <v>168</v>
      </c>
      <c r="H169" s="44" t="s">
        <v>9</v>
      </c>
      <c r="I169" s="44" t="s">
        <v>146</v>
      </c>
      <c r="J169" s="44" t="s">
        <v>316</v>
      </c>
    </row>
    <row r="170" spans="1:11" x14ac:dyDescent="0.25">
      <c r="A170" s="40" t="s">
        <v>4</v>
      </c>
      <c r="B170" s="41">
        <v>84</v>
      </c>
      <c r="C170" s="42">
        <v>95</v>
      </c>
      <c r="D170" s="43" t="s">
        <v>734</v>
      </c>
      <c r="E170" s="41" t="s">
        <v>527</v>
      </c>
      <c r="F170" s="40" t="s">
        <v>82</v>
      </c>
      <c r="G170" s="44" t="s">
        <v>735</v>
      </c>
      <c r="H170" s="44" t="s">
        <v>345</v>
      </c>
      <c r="I170" s="44" t="s">
        <v>168</v>
      </c>
      <c r="J170" s="44" t="s">
        <v>736</v>
      </c>
    </row>
    <row r="171" spans="1:11" x14ac:dyDescent="0.25">
      <c r="A171" s="40" t="s">
        <v>4</v>
      </c>
      <c r="B171" s="41">
        <v>84</v>
      </c>
      <c r="C171" s="42">
        <v>3</v>
      </c>
      <c r="D171" s="43" t="s">
        <v>737</v>
      </c>
      <c r="E171" s="41" t="s">
        <v>145</v>
      </c>
      <c r="F171" s="40" t="s">
        <v>89</v>
      </c>
      <c r="G171" s="44" t="s">
        <v>433</v>
      </c>
      <c r="H171" s="44" t="s">
        <v>663</v>
      </c>
      <c r="I171" s="44" t="s">
        <v>146</v>
      </c>
      <c r="J171" s="44" t="s">
        <v>263</v>
      </c>
    </row>
    <row r="172" spans="1:11" x14ac:dyDescent="0.25">
      <c r="A172" s="40" t="s">
        <v>4</v>
      </c>
      <c r="B172" s="41">
        <v>84</v>
      </c>
      <c r="C172" s="42">
        <v>76</v>
      </c>
      <c r="D172" s="43" t="s">
        <v>738</v>
      </c>
      <c r="E172" s="41" t="s">
        <v>145</v>
      </c>
      <c r="F172" s="40" t="s">
        <v>73</v>
      </c>
      <c r="G172" s="44" t="s">
        <v>37</v>
      </c>
      <c r="H172" s="44" t="s">
        <v>739</v>
      </c>
      <c r="I172" s="44" t="s">
        <v>37</v>
      </c>
      <c r="J172" s="44" t="s">
        <v>740</v>
      </c>
    </row>
    <row r="173" spans="1:11" x14ac:dyDescent="0.25">
      <c r="A173" s="45" t="s">
        <v>4</v>
      </c>
      <c r="B173" s="41">
        <v>84</v>
      </c>
      <c r="C173" s="42">
        <v>49</v>
      </c>
      <c r="D173" s="43" t="s">
        <v>741</v>
      </c>
      <c r="E173" s="41">
        <v>2002</v>
      </c>
      <c r="F173" s="40" t="s">
        <v>53</v>
      </c>
      <c r="G173" s="44">
        <v>182.5</v>
      </c>
      <c r="H173" s="44">
        <v>80</v>
      </c>
      <c r="I173" s="44">
        <v>185</v>
      </c>
      <c r="J173" s="44">
        <v>447.5</v>
      </c>
    </row>
    <row r="174" spans="1:11" x14ac:dyDescent="0.25">
      <c r="A174" s="46" t="s">
        <v>4</v>
      </c>
      <c r="B174" s="47" t="s">
        <v>70</v>
      </c>
      <c r="C174" s="42">
        <v>66</v>
      </c>
      <c r="D174" s="48" t="s">
        <v>742</v>
      </c>
      <c r="E174" s="49">
        <v>2002</v>
      </c>
      <c r="F174" s="50" t="s">
        <v>933</v>
      </c>
      <c r="G174" s="51">
        <v>177.5</v>
      </c>
      <c r="H174" s="51">
        <v>77.5</v>
      </c>
      <c r="I174" s="51">
        <v>185</v>
      </c>
      <c r="J174" s="51">
        <v>440</v>
      </c>
      <c r="K174" s="52"/>
    </row>
    <row r="175" spans="1:11" x14ac:dyDescent="0.25">
      <c r="A175" s="45" t="s">
        <v>324</v>
      </c>
      <c r="B175" s="41">
        <v>84</v>
      </c>
      <c r="C175" s="42">
        <v>29</v>
      </c>
      <c r="D175" s="43" t="s">
        <v>818</v>
      </c>
      <c r="E175" s="41" t="s">
        <v>7</v>
      </c>
      <c r="F175" s="40" t="s">
        <v>82</v>
      </c>
      <c r="G175" s="44" t="s">
        <v>647</v>
      </c>
      <c r="H175" s="44" t="s">
        <v>31</v>
      </c>
      <c r="I175" s="44" t="s">
        <v>37</v>
      </c>
      <c r="J175" s="44" t="s">
        <v>819</v>
      </c>
    </row>
    <row r="176" spans="1:11" x14ac:dyDescent="0.25">
      <c r="A176" s="45" t="s">
        <v>324</v>
      </c>
      <c r="B176" s="41">
        <v>84</v>
      </c>
      <c r="C176" s="42">
        <v>46</v>
      </c>
      <c r="D176" s="43" t="s">
        <v>820</v>
      </c>
      <c r="E176" s="41" t="s">
        <v>77</v>
      </c>
      <c r="F176" s="40" t="s">
        <v>82</v>
      </c>
      <c r="G176" s="44" t="s">
        <v>42</v>
      </c>
      <c r="H176" s="44" t="s">
        <v>508</v>
      </c>
      <c r="I176" s="44" t="s">
        <v>255</v>
      </c>
      <c r="J176" s="44" t="s">
        <v>821</v>
      </c>
    </row>
    <row r="177" spans="1:16" x14ac:dyDescent="0.25">
      <c r="A177" s="45" t="s">
        <v>324</v>
      </c>
      <c r="B177" s="41">
        <v>84</v>
      </c>
      <c r="C177" s="42">
        <v>92</v>
      </c>
      <c r="D177" s="43" t="s">
        <v>822</v>
      </c>
      <c r="E177" s="41" t="s">
        <v>34</v>
      </c>
      <c r="F177" s="40" t="s">
        <v>89</v>
      </c>
      <c r="G177" s="44" t="s">
        <v>42</v>
      </c>
      <c r="H177" s="44" t="s">
        <v>706</v>
      </c>
      <c r="I177" s="44" t="s">
        <v>763</v>
      </c>
      <c r="J177" s="44" t="s">
        <v>727</v>
      </c>
      <c r="L177" s="53"/>
      <c r="M177" s="53"/>
      <c r="N177" s="53"/>
      <c r="O177" s="53"/>
      <c r="P177" s="53"/>
    </row>
    <row r="178" spans="1:16" x14ac:dyDescent="0.25">
      <c r="A178" s="40" t="s">
        <v>324</v>
      </c>
      <c r="B178" s="41">
        <v>84</v>
      </c>
      <c r="C178" s="42">
        <v>84</v>
      </c>
      <c r="D178" s="43" t="s">
        <v>823</v>
      </c>
      <c r="E178" s="41">
        <v>2004</v>
      </c>
      <c r="F178" s="40" t="s">
        <v>73</v>
      </c>
      <c r="G178" s="44">
        <v>140</v>
      </c>
      <c r="H178" s="44">
        <v>75</v>
      </c>
      <c r="I178" s="44">
        <v>160</v>
      </c>
      <c r="J178" s="44">
        <v>375</v>
      </c>
      <c r="L178" s="53"/>
      <c r="M178" s="53"/>
      <c r="N178" s="53"/>
      <c r="O178" s="53"/>
      <c r="P178" s="53"/>
    </row>
    <row r="179" spans="1:16" x14ac:dyDescent="0.25">
      <c r="A179" s="40" t="s">
        <v>883</v>
      </c>
      <c r="B179" s="41">
        <v>84</v>
      </c>
      <c r="C179" s="42">
        <v>67</v>
      </c>
      <c r="D179" s="43" t="s">
        <v>684</v>
      </c>
      <c r="E179" s="41" t="s">
        <v>443</v>
      </c>
      <c r="F179" s="40" t="s">
        <v>89</v>
      </c>
      <c r="G179" s="44" t="s">
        <v>55</v>
      </c>
      <c r="H179" s="44" t="s">
        <v>23</v>
      </c>
      <c r="I179" s="44" t="s">
        <v>30</v>
      </c>
      <c r="J179" s="44" t="s">
        <v>856</v>
      </c>
      <c r="L179" s="53"/>
      <c r="M179" s="53"/>
      <c r="N179" s="53"/>
      <c r="O179" s="53"/>
      <c r="P179" s="53"/>
    </row>
    <row r="180" spans="1:16" x14ac:dyDescent="0.25">
      <c r="A180" s="40" t="s">
        <v>883</v>
      </c>
      <c r="B180" s="41">
        <v>84</v>
      </c>
      <c r="C180" s="42">
        <v>67</v>
      </c>
      <c r="D180" s="43" t="s">
        <v>684</v>
      </c>
      <c r="E180" s="41" t="s">
        <v>443</v>
      </c>
      <c r="F180" s="40" t="s">
        <v>89</v>
      </c>
      <c r="G180" s="41"/>
      <c r="H180" s="41" t="s">
        <v>23</v>
      </c>
      <c r="I180" s="41"/>
      <c r="J180" s="41"/>
      <c r="L180" s="54"/>
      <c r="M180" s="55"/>
      <c r="N180" s="54"/>
      <c r="O180" s="53"/>
      <c r="P180" s="53"/>
    </row>
    <row r="181" spans="1:16" x14ac:dyDescent="0.25">
      <c r="A181" s="40" t="s">
        <v>875</v>
      </c>
      <c r="B181" s="41">
        <v>84</v>
      </c>
      <c r="C181" s="42">
        <v>19</v>
      </c>
      <c r="D181" s="43" t="s">
        <v>39</v>
      </c>
      <c r="E181" s="41" t="s">
        <v>7</v>
      </c>
      <c r="F181" s="40" t="s">
        <v>40</v>
      </c>
      <c r="G181" s="41" t="s">
        <v>30</v>
      </c>
      <c r="H181" s="41" t="s">
        <v>41</v>
      </c>
      <c r="I181" s="41" t="s">
        <v>42</v>
      </c>
      <c r="J181" s="41" t="s">
        <v>43</v>
      </c>
      <c r="L181" s="54"/>
      <c r="M181" s="55"/>
      <c r="N181" s="56"/>
      <c r="O181" s="53"/>
      <c r="P181" s="53"/>
    </row>
    <row r="182" spans="1:16" x14ac:dyDescent="0.25">
      <c r="A182" s="40"/>
      <c r="B182" s="41"/>
      <c r="C182" s="42"/>
      <c r="D182" s="38" t="s">
        <v>940</v>
      </c>
      <c r="E182" s="41"/>
      <c r="F182" s="40"/>
      <c r="G182" s="41"/>
      <c r="H182" s="41"/>
      <c r="I182" s="41"/>
      <c r="J182" s="41"/>
      <c r="L182" s="54"/>
      <c r="M182" s="55"/>
      <c r="N182" s="56"/>
      <c r="O182" s="53"/>
      <c r="P182" s="53"/>
    </row>
    <row r="183" spans="1:16" x14ac:dyDescent="0.25">
      <c r="A183" s="40"/>
      <c r="B183" s="41"/>
      <c r="C183" s="42"/>
      <c r="D183" s="39" t="s">
        <v>901</v>
      </c>
      <c r="E183" s="41"/>
      <c r="F183" s="40"/>
      <c r="G183" s="41"/>
      <c r="H183" s="41"/>
      <c r="I183" s="41"/>
      <c r="J183" s="41"/>
      <c r="L183" s="54"/>
      <c r="M183" s="55"/>
      <c r="N183" s="54"/>
      <c r="O183" s="53"/>
      <c r="P183" s="53"/>
    </row>
    <row r="184" spans="1:16" x14ac:dyDescent="0.25">
      <c r="A184" s="40" t="s">
        <v>4</v>
      </c>
      <c r="B184" s="41">
        <v>85</v>
      </c>
      <c r="C184" s="42">
        <v>15</v>
      </c>
      <c r="D184" s="43" t="s">
        <v>666</v>
      </c>
      <c r="E184" s="41" t="s">
        <v>447</v>
      </c>
      <c r="F184" s="40" t="s">
        <v>128</v>
      </c>
      <c r="G184" s="44" t="s">
        <v>98</v>
      </c>
      <c r="H184" s="44" t="s">
        <v>667</v>
      </c>
      <c r="I184" s="44" t="s">
        <v>255</v>
      </c>
      <c r="J184" s="44" t="s">
        <v>746</v>
      </c>
      <c r="L184" s="54"/>
      <c r="M184" s="55"/>
      <c r="N184" s="54"/>
      <c r="O184" s="53"/>
      <c r="P184" s="53"/>
    </row>
    <row r="185" spans="1:16" x14ac:dyDescent="0.25">
      <c r="A185" s="40" t="s">
        <v>4</v>
      </c>
      <c r="B185" s="41">
        <v>85</v>
      </c>
      <c r="C185" s="42">
        <v>70</v>
      </c>
      <c r="D185" s="43" t="s">
        <v>747</v>
      </c>
      <c r="E185" s="41">
        <v>1988</v>
      </c>
      <c r="F185" s="40" t="s">
        <v>89</v>
      </c>
      <c r="G185" s="44">
        <v>187.5</v>
      </c>
      <c r="H185" s="44">
        <v>92.5</v>
      </c>
      <c r="I185" s="44">
        <v>207.5</v>
      </c>
      <c r="J185" s="44">
        <v>485</v>
      </c>
      <c r="L185" s="53"/>
      <c r="M185" s="53"/>
      <c r="N185" s="53"/>
      <c r="O185" s="53"/>
      <c r="P185" s="53"/>
    </row>
    <row r="186" spans="1:16" x14ac:dyDescent="0.25">
      <c r="A186" s="40" t="s">
        <v>4</v>
      </c>
      <c r="B186" s="41">
        <v>85</v>
      </c>
      <c r="C186" s="42">
        <v>53</v>
      </c>
      <c r="D186" s="43" t="s">
        <v>748</v>
      </c>
      <c r="E186" s="41" t="s">
        <v>97</v>
      </c>
      <c r="F186" s="40" t="s">
        <v>58</v>
      </c>
      <c r="G186" s="44" t="s">
        <v>37</v>
      </c>
      <c r="H186" s="44" t="s">
        <v>274</v>
      </c>
      <c r="I186" s="44" t="s">
        <v>65</v>
      </c>
      <c r="J186" s="44" t="s">
        <v>263</v>
      </c>
      <c r="L186" s="53"/>
      <c r="M186" s="53"/>
      <c r="N186" s="53"/>
      <c r="O186" s="53"/>
      <c r="P186" s="53"/>
    </row>
    <row r="187" spans="1:16" x14ac:dyDescent="0.25">
      <c r="A187" s="40" t="s">
        <v>4</v>
      </c>
      <c r="B187" s="41">
        <v>85</v>
      </c>
      <c r="C187" s="42">
        <v>75</v>
      </c>
      <c r="D187" s="43" t="s">
        <v>749</v>
      </c>
      <c r="E187" s="41" t="s">
        <v>97</v>
      </c>
      <c r="F187" s="40" t="s">
        <v>82</v>
      </c>
      <c r="G187" s="44" t="s">
        <v>18</v>
      </c>
      <c r="H187" s="44" t="s">
        <v>36</v>
      </c>
      <c r="I187" s="44" t="s">
        <v>98</v>
      </c>
      <c r="J187" s="44" t="s">
        <v>750</v>
      </c>
    </row>
    <row r="188" spans="1:16" x14ac:dyDescent="0.25">
      <c r="A188" s="40" t="s">
        <v>4</v>
      </c>
      <c r="B188" s="41">
        <v>84</v>
      </c>
      <c r="C188" s="42">
        <v>6</v>
      </c>
      <c r="D188" s="43" t="s">
        <v>744</v>
      </c>
      <c r="E188" s="41" t="s">
        <v>81</v>
      </c>
      <c r="F188" s="40" t="s">
        <v>109</v>
      </c>
      <c r="G188" s="44" t="s">
        <v>117</v>
      </c>
      <c r="H188" s="44" t="s">
        <v>508</v>
      </c>
      <c r="I188" s="44" t="s">
        <v>30</v>
      </c>
      <c r="J188" s="44" t="s">
        <v>32</v>
      </c>
    </row>
    <row r="189" spans="1:16" x14ac:dyDescent="0.25">
      <c r="A189" s="40" t="s">
        <v>4</v>
      </c>
      <c r="B189" s="41"/>
      <c r="C189" s="42">
        <v>15</v>
      </c>
      <c r="D189" s="43" t="s">
        <v>666</v>
      </c>
      <c r="E189" s="41">
        <v>1984</v>
      </c>
      <c r="F189" s="40" t="s">
        <v>128</v>
      </c>
      <c r="G189" s="44"/>
      <c r="H189" s="44">
        <v>115.5</v>
      </c>
      <c r="I189" s="44"/>
      <c r="J189" s="44"/>
    </row>
    <row r="190" spans="1:16" x14ac:dyDescent="0.25">
      <c r="A190" s="40" t="s">
        <v>4</v>
      </c>
      <c r="B190" s="41"/>
      <c r="C190" s="42">
        <v>37</v>
      </c>
      <c r="D190" s="43" t="s">
        <v>668</v>
      </c>
      <c r="E190" s="41">
        <v>1988</v>
      </c>
      <c r="F190" s="40" t="s">
        <v>89</v>
      </c>
      <c r="G190" s="44"/>
      <c r="H190" s="44">
        <v>97.5</v>
      </c>
      <c r="I190" s="44"/>
      <c r="J190" s="44"/>
    </row>
    <row r="191" spans="1:16" x14ac:dyDescent="0.25">
      <c r="A191" s="40" t="s">
        <v>4</v>
      </c>
      <c r="B191" s="41"/>
      <c r="C191" s="42">
        <v>48</v>
      </c>
      <c r="D191" s="43" t="s">
        <v>932</v>
      </c>
      <c r="E191" s="41">
        <v>1996</v>
      </c>
      <c r="F191" s="40" t="s">
        <v>89</v>
      </c>
      <c r="G191" s="44"/>
      <c r="H191" s="44">
        <v>85</v>
      </c>
      <c r="I191" s="44"/>
      <c r="J191" s="44"/>
    </row>
    <row r="192" spans="1:16" x14ac:dyDescent="0.25">
      <c r="A192" s="40" t="s">
        <v>324</v>
      </c>
      <c r="B192" s="41">
        <v>84</v>
      </c>
      <c r="C192" s="42">
        <v>89</v>
      </c>
      <c r="D192" s="43" t="s">
        <v>817</v>
      </c>
      <c r="E192" s="41" t="s">
        <v>34</v>
      </c>
      <c r="F192" s="40" t="s">
        <v>53</v>
      </c>
      <c r="G192" s="44" t="s">
        <v>18</v>
      </c>
      <c r="H192" s="44" t="s">
        <v>31</v>
      </c>
      <c r="I192" s="44" t="s">
        <v>37</v>
      </c>
      <c r="J192" s="44" t="s">
        <v>743</v>
      </c>
    </row>
    <row r="193" spans="1:16" x14ac:dyDescent="0.25">
      <c r="A193" s="40" t="s">
        <v>324</v>
      </c>
      <c r="B193" s="41">
        <v>85</v>
      </c>
      <c r="C193" s="42">
        <v>40</v>
      </c>
      <c r="D193" s="43" t="s">
        <v>824</v>
      </c>
      <c r="E193" s="41" t="s">
        <v>77</v>
      </c>
      <c r="F193" s="40" t="s">
        <v>128</v>
      </c>
      <c r="G193" s="44" t="s">
        <v>357</v>
      </c>
      <c r="H193" s="44" t="s">
        <v>31</v>
      </c>
      <c r="I193" s="44" t="s">
        <v>357</v>
      </c>
      <c r="J193" s="44" t="s">
        <v>438</v>
      </c>
    </row>
    <row r="194" spans="1:16" x14ac:dyDescent="0.25">
      <c r="A194" s="40" t="s">
        <v>324</v>
      </c>
      <c r="B194" s="41">
        <v>85</v>
      </c>
      <c r="C194" s="42">
        <v>47</v>
      </c>
      <c r="D194" s="43" t="s">
        <v>825</v>
      </c>
      <c r="E194" s="41" t="s">
        <v>7</v>
      </c>
      <c r="F194" s="40" t="s">
        <v>104</v>
      </c>
      <c r="G194" s="44" t="s">
        <v>84</v>
      </c>
      <c r="H194" s="44" t="s">
        <v>706</v>
      </c>
      <c r="I194" s="44" t="s">
        <v>18</v>
      </c>
      <c r="J194" s="44" t="s">
        <v>19</v>
      </c>
    </row>
    <row r="195" spans="1:16" x14ac:dyDescent="0.25">
      <c r="A195" s="40" t="s">
        <v>324</v>
      </c>
      <c r="B195" s="41">
        <v>85</v>
      </c>
      <c r="C195" s="42">
        <v>77</v>
      </c>
      <c r="D195" s="43" t="s">
        <v>682</v>
      </c>
      <c r="E195" s="41">
        <v>2006</v>
      </c>
      <c r="F195" s="40" t="s">
        <v>73</v>
      </c>
      <c r="G195" s="44">
        <v>150</v>
      </c>
      <c r="H195" s="44">
        <v>67.5</v>
      </c>
      <c r="I195" s="44">
        <v>140</v>
      </c>
      <c r="J195" s="44">
        <v>357.5</v>
      </c>
    </row>
    <row r="196" spans="1:16" x14ac:dyDescent="0.25">
      <c r="A196" s="40" t="s">
        <v>324</v>
      </c>
      <c r="B196" s="41">
        <v>84</v>
      </c>
      <c r="C196" s="42">
        <v>82</v>
      </c>
      <c r="D196" s="43" t="s">
        <v>33</v>
      </c>
      <c r="E196" s="41" t="s">
        <v>34</v>
      </c>
      <c r="F196" s="40" t="s">
        <v>89</v>
      </c>
      <c r="G196" s="44">
        <v>25</v>
      </c>
      <c r="H196" s="44">
        <v>25</v>
      </c>
      <c r="I196" s="44">
        <v>25</v>
      </c>
      <c r="J196" s="44">
        <v>75</v>
      </c>
    </row>
    <row r="197" spans="1:16" x14ac:dyDescent="0.25">
      <c r="A197" s="40" t="s">
        <v>324</v>
      </c>
      <c r="B197" s="41">
        <v>85</v>
      </c>
      <c r="C197" s="42">
        <v>42</v>
      </c>
      <c r="D197" s="43" t="s">
        <v>682</v>
      </c>
      <c r="E197" s="41">
        <v>2006</v>
      </c>
      <c r="F197" s="40" t="s">
        <v>73</v>
      </c>
      <c r="G197" s="41"/>
      <c r="H197" s="41">
        <v>67.5</v>
      </c>
      <c r="I197" s="41"/>
      <c r="J197" s="41"/>
    </row>
    <row r="198" spans="1:16" x14ac:dyDescent="0.25">
      <c r="A198" s="40" t="s">
        <v>883</v>
      </c>
      <c r="B198" s="41">
        <v>84</v>
      </c>
      <c r="C198" s="42">
        <v>81</v>
      </c>
      <c r="D198" s="43" t="s">
        <v>857</v>
      </c>
      <c r="E198" s="41" t="s">
        <v>447</v>
      </c>
      <c r="F198" s="40" t="s">
        <v>82</v>
      </c>
      <c r="G198" s="44" t="s">
        <v>858</v>
      </c>
      <c r="H198" s="44" t="s">
        <v>859</v>
      </c>
      <c r="I198" s="44" t="s">
        <v>860</v>
      </c>
      <c r="J198" s="44" t="s">
        <v>50</v>
      </c>
      <c r="L198" s="53"/>
      <c r="M198" s="53"/>
      <c r="N198" s="53"/>
      <c r="O198" s="53"/>
      <c r="P198" s="53"/>
    </row>
    <row r="199" spans="1:16" x14ac:dyDescent="0.25">
      <c r="A199" s="40" t="s">
        <v>883</v>
      </c>
      <c r="B199" s="41">
        <v>85</v>
      </c>
      <c r="C199" s="42">
        <v>34</v>
      </c>
      <c r="D199" s="43" t="s">
        <v>685</v>
      </c>
      <c r="E199" s="41" t="s">
        <v>449</v>
      </c>
      <c r="F199" s="40" t="s">
        <v>58</v>
      </c>
      <c r="G199" s="41"/>
      <c r="H199" s="41" t="s">
        <v>345</v>
      </c>
      <c r="I199" s="41"/>
      <c r="J199" s="41"/>
    </row>
    <row r="200" spans="1:16" x14ac:dyDescent="0.25">
      <c r="A200" s="40" t="s">
        <v>892</v>
      </c>
      <c r="B200" s="41">
        <v>85</v>
      </c>
      <c r="C200" s="42">
        <v>32</v>
      </c>
      <c r="D200" s="43" t="s">
        <v>790</v>
      </c>
      <c r="E200" s="41">
        <v>2008</v>
      </c>
      <c r="F200" s="40" t="s">
        <v>89</v>
      </c>
      <c r="G200" s="44">
        <v>147.5</v>
      </c>
      <c r="H200" s="44">
        <v>80</v>
      </c>
      <c r="I200" s="44">
        <v>175</v>
      </c>
      <c r="J200" s="44">
        <v>402.5</v>
      </c>
      <c r="K200" s="57"/>
    </row>
    <row r="201" spans="1:16" x14ac:dyDescent="0.25">
      <c r="C201" s="58"/>
    </row>
    <row r="202" spans="1:16" x14ac:dyDescent="0.25">
      <c r="C202" s="58"/>
    </row>
    <row r="203" spans="1:16" x14ac:dyDescent="0.25">
      <c r="C203" s="58"/>
    </row>
    <row r="204" spans="1:16" x14ac:dyDescent="0.25">
      <c r="C204" s="58"/>
    </row>
    <row r="205" spans="1:16" x14ac:dyDescent="0.25">
      <c r="C205" s="58"/>
    </row>
    <row r="206" spans="1:16" x14ac:dyDescent="0.25">
      <c r="C206" s="58"/>
    </row>
    <row r="207" spans="1:16" x14ac:dyDescent="0.25">
      <c r="C207" s="58"/>
    </row>
    <row r="208" spans="1:16" x14ac:dyDescent="0.25">
      <c r="C208" s="58"/>
    </row>
    <row r="209" spans="3:3" x14ac:dyDescent="0.25">
      <c r="C209" s="58"/>
    </row>
    <row r="210" spans="3:3" x14ac:dyDescent="0.25">
      <c r="C210" s="58"/>
    </row>
    <row r="211" spans="3:3" x14ac:dyDescent="0.25">
      <c r="C211" s="58"/>
    </row>
    <row r="212" spans="3:3" x14ac:dyDescent="0.25">
      <c r="C212" s="58"/>
    </row>
    <row r="213" spans="3:3" x14ac:dyDescent="0.25">
      <c r="C213" s="58"/>
    </row>
    <row r="214" spans="3:3" x14ac:dyDescent="0.25">
      <c r="C214" s="58"/>
    </row>
    <row r="215" spans="3:3" x14ac:dyDescent="0.25">
      <c r="C215" s="58"/>
    </row>
    <row r="216" spans="3:3" x14ac:dyDescent="0.25">
      <c r="C216" s="58"/>
    </row>
    <row r="217" spans="3:3" x14ac:dyDescent="0.25">
      <c r="C217" s="58"/>
    </row>
    <row r="218" spans="3:3" x14ac:dyDescent="0.25">
      <c r="C218" s="58"/>
    </row>
    <row r="219" spans="3:3" x14ac:dyDescent="0.25">
      <c r="C219" s="58"/>
    </row>
    <row r="220" spans="3:3" x14ac:dyDescent="0.25">
      <c r="C220" s="58"/>
    </row>
    <row r="221" spans="3:3" x14ac:dyDescent="0.25">
      <c r="C221" s="58"/>
    </row>
    <row r="222" spans="3:3" x14ac:dyDescent="0.25">
      <c r="C222" s="58"/>
    </row>
    <row r="223" spans="3:3" x14ac:dyDescent="0.25">
      <c r="C223" s="58"/>
    </row>
    <row r="224" spans="3:3" x14ac:dyDescent="0.25">
      <c r="C224" s="58"/>
    </row>
    <row r="225" spans="3:3" x14ac:dyDescent="0.25">
      <c r="C225" s="58"/>
    </row>
    <row r="226" spans="3:3" x14ac:dyDescent="0.25">
      <c r="C226" s="58"/>
    </row>
    <row r="227" spans="3:3" x14ac:dyDescent="0.25">
      <c r="C227" s="58"/>
    </row>
    <row r="228" spans="3:3" x14ac:dyDescent="0.25">
      <c r="C228" s="58"/>
    </row>
    <row r="229" spans="3:3" x14ac:dyDescent="0.25">
      <c r="C229" s="58"/>
    </row>
    <row r="230" spans="3:3" x14ac:dyDescent="0.25">
      <c r="C230" s="58"/>
    </row>
    <row r="231" spans="3:3" x14ac:dyDescent="0.25">
      <c r="C231" s="58"/>
    </row>
    <row r="232" spans="3:3" x14ac:dyDescent="0.25">
      <c r="C232" s="58"/>
    </row>
    <row r="233" spans="3:3" x14ac:dyDescent="0.25">
      <c r="C233" s="58"/>
    </row>
    <row r="234" spans="3:3" x14ac:dyDescent="0.25">
      <c r="C234" s="58"/>
    </row>
    <row r="235" spans="3:3" x14ac:dyDescent="0.25">
      <c r="C235" s="58"/>
    </row>
    <row r="236" spans="3:3" x14ac:dyDescent="0.25">
      <c r="C236" s="58"/>
    </row>
    <row r="237" spans="3:3" x14ac:dyDescent="0.25">
      <c r="C237" s="58"/>
    </row>
    <row r="238" spans="3:3" x14ac:dyDescent="0.25">
      <c r="C238" s="58"/>
    </row>
    <row r="239" spans="3:3" x14ac:dyDescent="0.25">
      <c r="C239" s="58"/>
    </row>
    <row r="240" spans="3:3" x14ac:dyDescent="0.25">
      <c r="C240" s="58"/>
    </row>
    <row r="241" spans="3:3" x14ac:dyDescent="0.25">
      <c r="C241" s="58"/>
    </row>
  </sheetData>
  <sortState ref="A8:J200">
    <sortCondition ref="B8:B200"/>
    <sortCondition ref="A8:A200"/>
    <sortCondition descending="1" ref="J8:J200"/>
    <sortCondition descending="1" ref="H8:H200"/>
  </sortState>
  <mergeCells count="24">
    <mergeCell ref="A1:J1"/>
    <mergeCell ref="A2:J2"/>
    <mergeCell ref="A3:J3"/>
    <mergeCell ref="A4:J4"/>
    <mergeCell ref="A69:J69"/>
    <mergeCell ref="A70:J70"/>
    <mergeCell ref="A71:J71"/>
    <mergeCell ref="A72:J72"/>
    <mergeCell ref="A35:J35"/>
    <mergeCell ref="A36:J36"/>
    <mergeCell ref="A37:J37"/>
    <mergeCell ref="A38:J38"/>
    <mergeCell ref="A101:J101"/>
    <mergeCell ref="A102:J102"/>
    <mergeCell ref="A103:J103"/>
    <mergeCell ref="A104:J104"/>
    <mergeCell ref="A162:J162"/>
    <mergeCell ref="A163:J163"/>
    <mergeCell ref="A164:J164"/>
    <mergeCell ref="A165:J165"/>
    <mergeCell ref="A133:J133"/>
    <mergeCell ref="A134:J134"/>
    <mergeCell ref="A135:J135"/>
    <mergeCell ref="A136:J136"/>
  </mergeCells>
  <printOptions horizontalCentered="1"/>
  <pageMargins left="0.19685039370078741" right="0.19685039370078741" top="0.39370078740157483" bottom="0.39370078740157483" header="0" footer="0"/>
  <pageSetup paperSize="9" orientation="portrait" r:id="rId1"/>
  <rowBreaks count="5" manualBreakCount="5">
    <brk id="34" max="9" man="1"/>
    <brk id="68" max="9" man="1"/>
    <brk id="100" max="9" man="1"/>
    <brk id="132" max="9" man="1"/>
    <brk id="161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view="pageBreakPreview" zoomScaleNormal="100" zoomScaleSheetLayoutView="100" workbookViewId="0">
      <selection activeCell="O6" sqref="O6"/>
    </sheetView>
  </sheetViews>
  <sheetFormatPr defaultColWidth="9.140625" defaultRowHeight="15" x14ac:dyDescent="0.25"/>
  <cols>
    <col min="1" max="1" width="8.7109375" style="21" customWidth="1"/>
    <col min="2" max="2" width="7.7109375" style="21" hidden="1" customWidth="1"/>
    <col min="3" max="3" width="7.7109375" style="21" customWidth="1"/>
    <col min="4" max="4" width="30.7109375" style="21" customWidth="1"/>
    <col min="5" max="5" width="7.7109375" style="21" customWidth="1"/>
    <col min="6" max="6" width="13.7109375" style="21" customWidth="1"/>
    <col min="7" max="10" width="7.7109375" style="59" customWidth="1"/>
    <col min="11" max="16384" width="9.140625" style="21"/>
  </cols>
  <sheetData>
    <row r="1" spans="1:10" x14ac:dyDescent="0.25">
      <c r="A1" s="75" t="s">
        <v>960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8" t="s">
        <v>934</v>
      </c>
      <c r="B2" s="78"/>
      <c r="C2" s="78"/>
      <c r="D2" s="78"/>
      <c r="E2" s="78"/>
      <c r="F2" s="78"/>
      <c r="G2" s="78"/>
      <c r="H2" s="78"/>
      <c r="I2" s="78"/>
      <c r="J2" s="78"/>
    </row>
    <row r="3" spans="1:10" x14ac:dyDescent="0.25">
      <c r="A3" s="78" t="s">
        <v>935</v>
      </c>
      <c r="B3" s="78"/>
      <c r="C3" s="78"/>
      <c r="D3" s="78"/>
      <c r="E3" s="78"/>
      <c r="F3" s="78"/>
      <c r="G3" s="78"/>
      <c r="H3" s="78"/>
      <c r="I3" s="78"/>
      <c r="J3" s="78"/>
    </row>
    <row r="4" spans="1:10" s="22" customFormat="1" x14ac:dyDescent="0.25">
      <c r="A4" s="77" t="s">
        <v>936</v>
      </c>
      <c r="B4" s="77"/>
      <c r="C4" s="77"/>
      <c r="D4" s="77"/>
      <c r="E4" s="77"/>
      <c r="F4" s="77"/>
      <c r="G4" s="77"/>
      <c r="H4" s="77"/>
      <c r="I4" s="77"/>
      <c r="J4" s="77"/>
    </row>
    <row r="5" spans="1:10" x14ac:dyDescent="0.25">
      <c r="A5" s="30" t="s">
        <v>0</v>
      </c>
      <c r="B5" s="30" t="s">
        <v>1</v>
      </c>
      <c r="C5" s="30" t="s">
        <v>931</v>
      </c>
      <c r="D5" s="31" t="s">
        <v>889</v>
      </c>
      <c r="E5" s="30" t="s">
        <v>890</v>
      </c>
      <c r="F5" s="30" t="s">
        <v>891</v>
      </c>
      <c r="G5" s="32" t="s">
        <v>874</v>
      </c>
      <c r="H5" s="32" t="s">
        <v>887</v>
      </c>
      <c r="I5" s="32" t="s">
        <v>888</v>
      </c>
      <c r="J5" s="32" t="s">
        <v>3</v>
      </c>
    </row>
    <row r="6" spans="1:10" s="22" customFormat="1" x14ac:dyDescent="0.25">
      <c r="A6" s="28"/>
      <c r="B6" s="28"/>
      <c r="C6" s="28"/>
      <c r="D6" s="60" t="s">
        <v>939</v>
      </c>
      <c r="E6" s="28"/>
      <c r="F6" s="28"/>
      <c r="G6" s="29"/>
      <c r="H6" s="29"/>
      <c r="I6" s="29"/>
      <c r="J6" s="29"/>
    </row>
    <row r="7" spans="1:10" s="22" customFormat="1" x14ac:dyDescent="0.25">
      <c r="A7" s="28"/>
      <c r="B7" s="28"/>
      <c r="C7" s="28"/>
      <c r="D7" s="33" t="s">
        <v>903</v>
      </c>
      <c r="E7" s="28"/>
      <c r="F7" s="28"/>
      <c r="G7" s="29"/>
      <c r="H7" s="29"/>
      <c r="I7" s="29"/>
      <c r="J7" s="29"/>
    </row>
    <row r="8" spans="1:10" x14ac:dyDescent="0.25">
      <c r="A8" s="40" t="s">
        <v>4</v>
      </c>
      <c r="B8" s="41">
        <v>59</v>
      </c>
      <c r="C8" s="42">
        <v>13</v>
      </c>
      <c r="D8" s="61" t="s">
        <v>51</v>
      </c>
      <c r="E8" s="41" t="s">
        <v>52</v>
      </c>
      <c r="F8" s="40" t="s">
        <v>53</v>
      </c>
      <c r="G8" s="44" t="s">
        <v>170</v>
      </c>
      <c r="H8" s="44" t="s">
        <v>433</v>
      </c>
      <c r="I8" s="44" t="s">
        <v>61</v>
      </c>
      <c r="J8" s="44" t="s">
        <v>459</v>
      </c>
    </row>
    <row r="9" spans="1:10" x14ac:dyDescent="0.25">
      <c r="A9" s="40"/>
      <c r="B9" s="41"/>
      <c r="C9" s="42"/>
      <c r="D9" s="33" t="s">
        <v>904</v>
      </c>
      <c r="E9" s="41"/>
      <c r="F9" s="40"/>
      <c r="G9" s="44"/>
      <c r="H9" s="44"/>
      <c r="I9" s="44"/>
      <c r="J9" s="44"/>
    </row>
    <row r="10" spans="1:10" x14ac:dyDescent="0.25">
      <c r="A10" s="40" t="s">
        <v>4</v>
      </c>
      <c r="B10" s="41">
        <v>66</v>
      </c>
      <c r="C10" s="42">
        <v>7</v>
      </c>
      <c r="D10" s="61" t="s">
        <v>561</v>
      </c>
      <c r="E10" s="41" t="s">
        <v>52</v>
      </c>
      <c r="F10" s="40" t="s">
        <v>53</v>
      </c>
      <c r="G10" s="44" t="s">
        <v>371</v>
      </c>
      <c r="H10" s="44" t="s">
        <v>357</v>
      </c>
      <c r="I10" s="44" t="s">
        <v>83</v>
      </c>
      <c r="J10" s="44" t="s">
        <v>189</v>
      </c>
    </row>
    <row r="11" spans="1:10" x14ac:dyDescent="0.25">
      <c r="A11" s="40" t="s">
        <v>4</v>
      </c>
      <c r="B11" s="41">
        <v>66</v>
      </c>
      <c r="C11" s="42">
        <v>56</v>
      </c>
      <c r="D11" s="61" t="s">
        <v>562</v>
      </c>
      <c r="E11" s="41" t="s">
        <v>527</v>
      </c>
      <c r="F11" s="40" t="s">
        <v>141</v>
      </c>
      <c r="G11" s="44" t="s">
        <v>83</v>
      </c>
      <c r="H11" s="44" t="s">
        <v>106</v>
      </c>
      <c r="I11" s="44" t="s">
        <v>83</v>
      </c>
      <c r="J11" s="44" t="s">
        <v>293</v>
      </c>
    </row>
    <row r="12" spans="1:10" x14ac:dyDescent="0.25">
      <c r="A12" s="40" t="s">
        <v>884</v>
      </c>
      <c r="B12" s="41">
        <v>66</v>
      </c>
      <c r="C12" s="42">
        <v>79</v>
      </c>
      <c r="D12" s="61" t="s">
        <v>469</v>
      </c>
      <c r="E12" s="41" t="s">
        <v>470</v>
      </c>
      <c r="F12" s="40" t="s">
        <v>141</v>
      </c>
      <c r="G12" s="44" t="s">
        <v>11</v>
      </c>
      <c r="H12" s="44" t="s">
        <v>48</v>
      </c>
      <c r="I12" s="44" t="s">
        <v>42</v>
      </c>
      <c r="J12" s="44" t="s">
        <v>471</v>
      </c>
    </row>
    <row r="13" spans="1:10" x14ac:dyDescent="0.25">
      <c r="A13" s="40" t="s">
        <v>911</v>
      </c>
      <c r="B13" s="41">
        <v>66</v>
      </c>
      <c r="C13" s="42">
        <v>93</v>
      </c>
      <c r="D13" s="61" t="s">
        <v>579</v>
      </c>
      <c r="E13" s="41" t="s">
        <v>265</v>
      </c>
      <c r="F13" s="40" t="s">
        <v>53</v>
      </c>
      <c r="G13" s="44" t="s">
        <v>161</v>
      </c>
      <c r="H13" s="44" t="s">
        <v>262</v>
      </c>
      <c r="I13" s="44" t="s">
        <v>161</v>
      </c>
      <c r="J13" s="44" t="s">
        <v>43</v>
      </c>
    </row>
    <row r="14" spans="1:10" x14ac:dyDescent="0.25">
      <c r="A14" s="40"/>
      <c r="B14" s="41"/>
      <c r="C14" s="42"/>
      <c r="D14" s="33" t="s">
        <v>905</v>
      </c>
      <c r="E14" s="41"/>
      <c r="F14" s="40"/>
      <c r="G14" s="44"/>
      <c r="H14" s="44"/>
      <c r="I14" s="44"/>
      <c r="J14" s="44"/>
    </row>
    <row r="15" spans="1:10" x14ac:dyDescent="0.25">
      <c r="A15" s="40" t="s">
        <v>4</v>
      </c>
      <c r="B15" s="41">
        <v>74</v>
      </c>
      <c r="C15" s="42">
        <v>95</v>
      </c>
      <c r="D15" s="61" t="s">
        <v>563</v>
      </c>
      <c r="E15" s="41" t="s">
        <v>229</v>
      </c>
      <c r="F15" s="40" t="s">
        <v>53</v>
      </c>
      <c r="G15" s="44" t="s">
        <v>217</v>
      </c>
      <c r="H15" s="44" t="s">
        <v>56</v>
      </c>
      <c r="I15" s="44" t="s">
        <v>121</v>
      </c>
      <c r="J15" s="44" t="s">
        <v>564</v>
      </c>
    </row>
    <row r="16" spans="1:10" x14ac:dyDescent="0.25">
      <c r="A16" s="40" t="s">
        <v>4</v>
      </c>
      <c r="B16" s="41">
        <v>74</v>
      </c>
      <c r="C16" s="42">
        <v>3</v>
      </c>
      <c r="D16" s="61" t="s">
        <v>565</v>
      </c>
      <c r="E16" s="41" t="s">
        <v>229</v>
      </c>
      <c r="F16" s="40" t="s">
        <v>82</v>
      </c>
      <c r="G16" s="44" t="s">
        <v>85</v>
      </c>
      <c r="H16" s="44" t="s">
        <v>186</v>
      </c>
      <c r="I16" s="44" t="s">
        <v>116</v>
      </c>
      <c r="J16" s="44" t="s">
        <v>566</v>
      </c>
    </row>
    <row r="17" spans="1:11" x14ac:dyDescent="0.25">
      <c r="A17" s="40" t="s">
        <v>4</v>
      </c>
      <c r="B17" s="41">
        <v>74</v>
      </c>
      <c r="C17" s="42">
        <v>76</v>
      </c>
      <c r="D17" s="61" t="s">
        <v>554</v>
      </c>
      <c r="E17" s="41">
        <v>2002</v>
      </c>
      <c r="F17" s="40" t="s">
        <v>73</v>
      </c>
      <c r="G17" s="44">
        <v>200</v>
      </c>
      <c r="H17" s="44">
        <v>145</v>
      </c>
      <c r="I17" s="44">
        <v>235</v>
      </c>
      <c r="J17" s="44">
        <v>580</v>
      </c>
    </row>
    <row r="18" spans="1:11" x14ac:dyDescent="0.25">
      <c r="A18" s="40" t="s">
        <v>4</v>
      </c>
      <c r="B18" s="41">
        <v>74</v>
      </c>
      <c r="C18" s="42">
        <v>76</v>
      </c>
      <c r="D18" s="61" t="s">
        <v>554</v>
      </c>
      <c r="E18" s="41">
        <v>2002</v>
      </c>
      <c r="F18" s="40" t="s">
        <v>73</v>
      </c>
      <c r="G18" s="44"/>
      <c r="H18" s="44">
        <v>145</v>
      </c>
      <c r="I18" s="44"/>
      <c r="J18" s="44"/>
    </row>
    <row r="19" spans="1:11" x14ac:dyDescent="0.25">
      <c r="A19" s="40" t="s">
        <v>324</v>
      </c>
      <c r="B19" s="41">
        <v>74</v>
      </c>
      <c r="C19" s="42">
        <v>66</v>
      </c>
      <c r="D19" s="61" t="s">
        <v>581</v>
      </c>
      <c r="E19" s="41" t="s">
        <v>45</v>
      </c>
      <c r="F19" s="40" t="s">
        <v>53</v>
      </c>
      <c r="G19" s="44" t="s">
        <v>147</v>
      </c>
      <c r="H19" s="44" t="s">
        <v>161</v>
      </c>
      <c r="I19" s="44" t="s">
        <v>166</v>
      </c>
      <c r="J19" s="44" t="s">
        <v>79</v>
      </c>
    </row>
    <row r="20" spans="1:11" x14ac:dyDescent="0.25">
      <c r="A20" s="40" t="s">
        <v>324</v>
      </c>
      <c r="B20" s="41">
        <v>74</v>
      </c>
      <c r="C20" s="42">
        <v>29</v>
      </c>
      <c r="D20" s="61" t="s">
        <v>582</v>
      </c>
      <c r="E20" s="41" t="s">
        <v>351</v>
      </c>
      <c r="F20" s="40" t="s">
        <v>53</v>
      </c>
      <c r="G20" s="44" t="s">
        <v>116</v>
      </c>
      <c r="H20" s="44" t="s">
        <v>55</v>
      </c>
      <c r="I20" s="44" t="s">
        <v>140</v>
      </c>
      <c r="J20" s="44" t="s">
        <v>92</v>
      </c>
    </row>
    <row r="21" spans="1:11" x14ac:dyDescent="0.25">
      <c r="A21" s="40" t="s">
        <v>883</v>
      </c>
      <c r="B21" s="41">
        <v>74</v>
      </c>
      <c r="C21" s="42">
        <v>46</v>
      </c>
      <c r="D21" s="61" t="s">
        <v>589</v>
      </c>
      <c r="E21" s="41" t="s">
        <v>443</v>
      </c>
      <c r="F21" s="40" t="s">
        <v>89</v>
      </c>
      <c r="G21" s="44" t="s">
        <v>205</v>
      </c>
      <c r="H21" s="44" t="s">
        <v>18</v>
      </c>
      <c r="I21" s="44" t="s">
        <v>191</v>
      </c>
      <c r="J21" s="44" t="s">
        <v>590</v>
      </c>
    </row>
    <row r="22" spans="1:11" x14ac:dyDescent="0.25">
      <c r="A22" s="40" t="s">
        <v>884</v>
      </c>
      <c r="B22" s="41">
        <v>74</v>
      </c>
      <c r="C22" s="42">
        <v>92</v>
      </c>
      <c r="D22" s="61" t="s">
        <v>472</v>
      </c>
      <c r="E22" s="41" t="s">
        <v>473</v>
      </c>
      <c r="F22" s="40" t="s">
        <v>58</v>
      </c>
      <c r="G22" s="44" t="s">
        <v>140</v>
      </c>
      <c r="H22" s="44" t="s">
        <v>55</v>
      </c>
      <c r="I22" s="44" t="s">
        <v>83</v>
      </c>
      <c r="J22" s="44" t="s">
        <v>108</v>
      </c>
    </row>
    <row r="23" spans="1:11" x14ac:dyDescent="0.25">
      <c r="A23" s="40" t="s">
        <v>884</v>
      </c>
      <c r="B23" s="41">
        <v>74</v>
      </c>
      <c r="C23" s="42">
        <v>92</v>
      </c>
      <c r="D23" s="61" t="s">
        <v>472</v>
      </c>
      <c r="E23" s="41" t="s">
        <v>473</v>
      </c>
      <c r="F23" s="40" t="s">
        <v>58</v>
      </c>
      <c r="G23" s="44"/>
      <c r="H23" s="44" t="s">
        <v>55</v>
      </c>
      <c r="I23" s="44"/>
      <c r="J23" s="44"/>
    </row>
    <row r="24" spans="1:11" x14ac:dyDescent="0.25">
      <c r="A24" s="40" t="s">
        <v>885</v>
      </c>
      <c r="B24" s="41">
        <v>74</v>
      </c>
      <c r="C24" s="42">
        <v>67</v>
      </c>
      <c r="D24" s="61" t="s">
        <v>504</v>
      </c>
      <c r="E24" s="41" t="s">
        <v>505</v>
      </c>
      <c r="F24" s="40" t="s">
        <v>58</v>
      </c>
      <c r="G24" s="44" t="s">
        <v>98</v>
      </c>
      <c r="H24" s="44" t="s">
        <v>99</v>
      </c>
      <c r="I24" s="44" t="s">
        <v>166</v>
      </c>
      <c r="J24" s="44" t="s">
        <v>330</v>
      </c>
      <c r="K24" s="21">
        <v>13</v>
      </c>
    </row>
    <row r="25" spans="1:11" x14ac:dyDescent="0.25">
      <c r="A25" s="75" t="s">
        <v>960</v>
      </c>
      <c r="B25" s="75"/>
      <c r="C25" s="75"/>
      <c r="D25" s="75"/>
      <c r="E25" s="75"/>
      <c r="F25" s="75"/>
      <c r="G25" s="75"/>
      <c r="H25" s="75"/>
      <c r="I25" s="75"/>
      <c r="J25" s="75"/>
    </row>
    <row r="26" spans="1:11" x14ac:dyDescent="0.25">
      <c r="A26" s="78" t="s">
        <v>945</v>
      </c>
      <c r="B26" s="78"/>
      <c r="C26" s="78"/>
      <c r="D26" s="78"/>
      <c r="E26" s="78"/>
      <c r="F26" s="78"/>
      <c r="G26" s="78"/>
      <c r="H26" s="78"/>
      <c r="I26" s="78"/>
      <c r="J26" s="78"/>
    </row>
    <row r="27" spans="1:11" x14ac:dyDescent="0.25">
      <c r="A27" s="78" t="s">
        <v>935</v>
      </c>
      <c r="B27" s="78"/>
      <c r="C27" s="78"/>
      <c r="D27" s="78"/>
      <c r="E27" s="78"/>
      <c r="F27" s="78"/>
      <c r="G27" s="78"/>
      <c r="H27" s="78"/>
      <c r="I27" s="78"/>
      <c r="J27" s="78"/>
    </row>
    <row r="28" spans="1:11" s="22" customFormat="1" x14ac:dyDescent="0.25">
      <c r="A28" s="77" t="s">
        <v>936</v>
      </c>
      <c r="B28" s="77"/>
      <c r="C28" s="77"/>
      <c r="D28" s="77"/>
      <c r="E28" s="77"/>
      <c r="F28" s="77"/>
      <c r="G28" s="77"/>
      <c r="H28" s="77"/>
      <c r="I28" s="77"/>
      <c r="J28" s="77"/>
    </row>
    <row r="29" spans="1:11" x14ac:dyDescent="0.25">
      <c r="A29" s="30" t="s">
        <v>0</v>
      </c>
      <c r="B29" s="30" t="s">
        <v>1</v>
      </c>
      <c r="C29" s="30" t="s">
        <v>931</v>
      </c>
      <c r="D29" s="31" t="s">
        <v>889</v>
      </c>
      <c r="E29" s="30" t="s">
        <v>890</v>
      </c>
      <c r="F29" s="30" t="s">
        <v>891</v>
      </c>
      <c r="G29" s="32" t="s">
        <v>874</v>
      </c>
      <c r="H29" s="32" t="s">
        <v>887</v>
      </c>
      <c r="I29" s="32" t="s">
        <v>888</v>
      </c>
      <c r="J29" s="32" t="s">
        <v>3</v>
      </c>
    </row>
    <row r="30" spans="1:11" s="22" customFormat="1" x14ac:dyDescent="0.25">
      <c r="A30" s="28"/>
      <c r="B30" s="28"/>
      <c r="C30" s="28"/>
      <c r="D30" s="60" t="s">
        <v>939</v>
      </c>
      <c r="E30" s="28"/>
      <c r="F30" s="28"/>
      <c r="G30" s="29"/>
      <c r="H30" s="29"/>
      <c r="I30" s="29"/>
      <c r="J30" s="29"/>
    </row>
    <row r="31" spans="1:11" x14ac:dyDescent="0.25">
      <c r="A31" s="40"/>
      <c r="B31" s="41"/>
      <c r="C31" s="42"/>
      <c r="D31" s="33" t="s">
        <v>906</v>
      </c>
      <c r="E31" s="41"/>
      <c r="F31" s="40"/>
      <c r="G31" s="44"/>
      <c r="H31" s="44"/>
      <c r="I31" s="44"/>
      <c r="J31" s="44"/>
    </row>
    <row r="32" spans="1:11" x14ac:dyDescent="0.25">
      <c r="A32" s="40" t="s">
        <v>4</v>
      </c>
      <c r="B32" s="41">
        <v>83</v>
      </c>
      <c r="C32" s="42">
        <v>19</v>
      </c>
      <c r="D32" s="61" t="s">
        <v>567</v>
      </c>
      <c r="E32" s="41" t="s">
        <v>120</v>
      </c>
      <c r="F32" s="40" t="s">
        <v>53</v>
      </c>
      <c r="G32" s="44" t="s">
        <v>568</v>
      </c>
      <c r="H32" s="44" t="s">
        <v>166</v>
      </c>
      <c r="I32" s="44" t="s">
        <v>12</v>
      </c>
      <c r="J32" s="44" t="s">
        <v>569</v>
      </c>
    </row>
    <row r="33" spans="1:10" x14ac:dyDescent="0.25">
      <c r="A33" s="40" t="s">
        <v>4</v>
      </c>
      <c r="B33" s="41">
        <v>83</v>
      </c>
      <c r="C33" s="42">
        <v>28</v>
      </c>
      <c r="D33" s="61" t="s">
        <v>148</v>
      </c>
      <c r="E33" s="41" t="s">
        <v>149</v>
      </c>
      <c r="F33" s="40" t="s">
        <v>53</v>
      </c>
      <c r="G33" s="44" t="s">
        <v>570</v>
      </c>
      <c r="H33" s="44" t="s">
        <v>307</v>
      </c>
      <c r="I33" s="44" t="s">
        <v>12</v>
      </c>
      <c r="J33" s="44" t="s">
        <v>571</v>
      </c>
    </row>
    <row r="34" spans="1:10" x14ac:dyDescent="0.25">
      <c r="A34" s="40" t="s">
        <v>4</v>
      </c>
      <c r="B34" s="41">
        <v>83</v>
      </c>
      <c r="C34" s="42">
        <v>15</v>
      </c>
      <c r="D34" s="61" t="s">
        <v>572</v>
      </c>
      <c r="E34" s="41" t="s">
        <v>81</v>
      </c>
      <c r="F34" s="40" t="s">
        <v>89</v>
      </c>
      <c r="G34" s="44" t="s">
        <v>458</v>
      </c>
      <c r="H34" s="44" t="s">
        <v>98</v>
      </c>
      <c r="I34" s="44" t="s">
        <v>137</v>
      </c>
      <c r="J34" s="44" t="s">
        <v>414</v>
      </c>
    </row>
    <row r="35" spans="1:10" x14ac:dyDescent="0.25">
      <c r="A35" s="40" t="s">
        <v>4</v>
      </c>
      <c r="B35" s="41">
        <v>83</v>
      </c>
      <c r="C35" s="42">
        <v>70</v>
      </c>
      <c r="D35" s="61" t="s">
        <v>573</v>
      </c>
      <c r="E35" s="41" t="s">
        <v>28</v>
      </c>
      <c r="F35" s="40" t="s">
        <v>89</v>
      </c>
      <c r="G35" s="44" t="s">
        <v>116</v>
      </c>
      <c r="H35" s="44" t="s">
        <v>74</v>
      </c>
      <c r="I35" s="44" t="s">
        <v>155</v>
      </c>
      <c r="J35" s="44" t="s">
        <v>419</v>
      </c>
    </row>
    <row r="36" spans="1:10" x14ac:dyDescent="0.25">
      <c r="A36" s="40" t="s">
        <v>4</v>
      </c>
      <c r="B36" s="41">
        <v>83</v>
      </c>
      <c r="C36" s="42">
        <v>53</v>
      </c>
      <c r="D36" s="61" t="s">
        <v>574</v>
      </c>
      <c r="E36" s="41">
        <v>1989</v>
      </c>
      <c r="F36" s="40" t="s">
        <v>109</v>
      </c>
      <c r="G36" s="44">
        <v>260</v>
      </c>
      <c r="H36" s="44">
        <v>170</v>
      </c>
      <c r="I36" s="44">
        <v>240</v>
      </c>
      <c r="J36" s="44">
        <v>670</v>
      </c>
    </row>
    <row r="37" spans="1:10" x14ac:dyDescent="0.25">
      <c r="A37" s="40" t="s">
        <v>4</v>
      </c>
      <c r="B37" s="41">
        <v>83</v>
      </c>
      <c r="C37" s="42">
        <v>75</v>
      </c>
      <c r="D37" s="61" t="s">
        <v>555</v>
      </c>
      <c r="E37" s="41">
        <v>1992</v>
      </c>
      <c r="F37" s="40" t="s">
        <v>73</v>
      </c>
      <c r="G37" s="44">
        <v>240</v>
      </c>
      <c r="H37" s="44">
        <v>152.5</v>
      </c>
      <c r="I37" s="44">
        <v>277.5</v>
      </c>
      <c r="J37" s="44">
        <v>670</v>
      </c>
    </row>
    <row r="38" spans="1:10" x14ac:dyDescent="0.25">
      <c r="A38" s="40" t="s">
        <v>4</v>
      </c>
      <c r="B38" s="41">
        <v>83</v>
      </c>
      <c r="C38" s="42">
        <v>75</v>
      </c>
      <c r="D38" s="61" t="s">
        <v>555</v>
      </c>
      <c r="E38" s="41">
        <v>1992</v>
      </c>
      <c r="F38" s="40" t="s">
        <v>73</v>
      </c>
      <c r="G38" s="44"/>
      <c r="H38" s="44">
        <v>152.5</v>
      </c>
      <c r="I38" s="44"/>
      <c r="J38" s="44"/>
    </row>
    <row r="39" spans="1:10" x14ac:dyDescent="0.25">
      <c r="A39" s="40" t="s">
        <v>324</v>
      </c>
      <c r="B39" s="41">
        <v>83</v>
      </c>
      <c r="C39" s="42">
        <v>59</v>
      </c>
      <c r="D39" s="61" t="s">
        <v>374</v>
      </c>
      <c r="E39" s="41" t="s">
        <v>34</v>
      </c>
      <c r="F39" s="40" t="s">
        <v>53</v>
      </c>
      <c r="G39" s="44" t="s">
        <v>583</v>
      </c>
      <c r="H39" s="44" t="s">
        <v>65</v>
      </c>
      <c r="I39" s="44" t="s">
        <v>91</v>
      </c>
      <c r="J39" s="44" t="s">
        <v>584</v>
      </c>
    </row>
    <row r="40" spans="1:10" x14ac:dyDescent="0.25">
      <c r="A40" s="40" t="s">
        <v>324</v>
      </c>
      <c r="B40" s="41">
        <v>83</v>
      </c>
      <c r="C40" s="42">
        <v>37</v>
      </c>
      <c r="D40" s="61" t="s">
        <v>585</v>
      </c>
      <c r="E40" s="41" t="s">
        <v>45</v>
      </c>
      <c r="F40" s="40" t="s">
        <v>89</v>
      </c>
      <c r="G40" s="44" t="s">
        <v>292</v>
      </c>
      <c r="H40" s="44" t="s">
        <v>256</v>
      </c>
      <c r="I40" s="44" t="s">
        <v>140</v>
      </c>
      <c r="J40" s="44" t="s">
        <v>586</v>
      </c>
    </row>
    <row r="41" spans="1:10" x14ac:dyDescent="0.25">
      <c r="A41" s="40" t="s">
        <v>884</v>
      </c>
      <c r="B41" s="41">
        <v>83</v>
      </c>
      <c r="C41" s="42">
        <v>48</v>
      </c>
      <c r="D41" s="61" t="s">
        <v>482</v>
      </c>
      <c r="E41" s="41" t="s">
        <v>483</v>
      </c>
      <c r="F41" s="40" t="s">
        <v>89</v>
      </c>
      <c r="G41" s="44" t="s">
        <v>67</v>
      </c>
      <c r="H41" s="44" t="s">
        <v>55</v>
      </c>
      <c r="I41" s="44" t="s">
        <v>56</v>
      </c>
      <c r="J41" s="44" t="s">
        <v>271</v>
      </c>
    </row>
    <row r="42" spans="1:10" x14ac:dyDescent="0.25">
      <c r="A42" s="40" t="s">
        <v>884</v>
      </c>
      <c r="B42" s="41">
        <v>83</v>
      </c>
      <c r="C42" s="42">
        <v>89</v>
      </c>
      <c r="D42" s="61" t="s">
        <v>558</v>
      </c>
      <c r="E42" s="41" t="s">
        <v>470</v>
      </c>
      <c r="F42" s="40" t="s">
        <v>89</v>
      </c>
      <c r="G42" s="44"/>
      <c r="H42" s="44" t="s">
        <v>11</v>
      </c>
      <c r="I42" s="44"/>
      <c r="J42" s="44"/>
    </row>
    <row r="43" spans="1:10" x14ac:dyDescent="0.25">
      <c r="A43" s="40" t="s">
        <v>886</v>
      </c>
      <c r="B43" s="41">
        <v>83</v>
      </c>
      <c r="C43" s="42">
        <v>40</v>
      </c>
      <c r="D43" s="61" t="s">
        <v>552</v>
      </c>
      <c r="E43" s="41" t="s">
        <v>553</v>
      </c>
      <c r="F43" s="40" t="s">
        <v>89</v>
      </c>
      <c r="G43" s="44"/>
      <c r="H43" s="44" t="s">
        <v>9</v>
      </c>
      <c r="I43" s="44"/>
      <c r="J43" s="44"/>
    </row>
    <row r="44" spans="1:10" s="22" customFormat="1" x14ac:dyDescent="0.25">
      <c r="A44" s="28"/>
      <c r="B44" s="28"/>
      <c r="C44" s="28"/>
      <c r="D44" s="60" t="s">
        <v>940</v>
      </c>
      <c r="E44" s="28"/>
      <c r="F44" s="28"/>
      <c r="G44" s="29"/>
      <c r="H44" s="29"/>
      <c r="I44" s="29"/>
      <c r="J44" s="29"/>
    </row>
    <row r="45" spans="1:10" x14ac:dyDescent="0.25">
      <c r="A45" s="40"/>
      <c r="B45" s="41"/>
      <c r="C45" s="42"/>
      <c r="D45" s="33" t="s">
        <v>907</v>
      </c>
      <c r="E45" s="41"/>
      <c r="F45" s="40"/>
      <c r="G45" s="44"/>
      <c r="H45" s="44"/>
      <c r="I45" s="44"/>
      <c r="J45" s="44"/>
    </row>
    <row r="46" spans="1:10" x14ac:dyDescent="0.25">
      <c r="A46" s="40" t="s">
        <v>4</v>
      </c>
      <c r="B46" s="41">
        <v>93</v>
      </c>
      <c r="C46" s="42">
        <v>77</v>
      </c>
      <c r="D46" s="61" t="s">
        <v>576</v>
      </c>
      <c r="E46" s="41" t="s">
        <v>229</v>
      </c>
      <c r="F46" s="40" t="s">
        <v>58</v>
      </c>
      <c r="G46" s="44" t="s">
        <v>85</v>
      </c>
      <c r="H46" s="44" t="s">
        <v>132</v>
      </c>
      <c r="I46" s="44" t="s">
        <v>116</v>
      </c>
      <c r="J46" s="44" t="s">
        <v>122</v>
      </c>
    </row>
    <row r="47" spans="1:10" x14ac:dyDescent="0.25">
      <c r="A47" s="40" t="s">
        <v>324</v>
      </c>
      <c r="B47" s="41">
        <v>93</v>
      </c>
      <c r="C47" s="42">
        <v>82</v>
      </c>
      <c r="D47" s="61" t="s">
        <v>587</v>
      </c>
      <c r="E47" s="41" t="s">
        <v>34</v>
      </c>
      <c r="F47" s="40" t="s">
        <v>73</v>
      </c>
      <c r="G47" s="44" t="s">
        <v>121</v>
      </c>
      <c r="H47" s="44" t="s">
        <v>90</v>
      </c>
      <c r="I47" s="44" t="s">
        <v>137</v>
      </c>
      <c r="J47" s="44" t="s">
        <v>588</v>
      </c>
    </row>
    <row r="48" spans="1:10" x14ac:dyDescent="0.25">
      <c r="A48" s="40" t="s">
        <v>884</v>
      </c>
      <c r="B48" s="41">
        <v>93</v>
      </c>
      <c r="C48" s="42">
        <v>42</v>
      </c>
      <c r="D48" s="61" t="s">
        <v>594</v>
      </c>
      <c r="E48" s="41" t="s">
        <v>488</v>
      </c>
      <c r="F48" s="40" t="s">
        <v>58</v>
      </c>
      <c r="G48" s="44" t="s">
        <v>65</v>
      </c>
      <c r="H48" s="44" t="s">
        <v>60</v>
      </c>
      <c r="I48" s="44" t="s">
        <v>67</v>
      </c>
      <c r="J48" s="44" t="s">
        <v>434</v>
      </c>
    </row>
    <row r="49" spans="1:11" x14ac:dyDescent="0.25">
      <c r="A49" s="40"/>
      <c r="B49" s="41"/>
      <c r="C49" s="42"/>
      <c r="D49" s="33" t="s">
        <v>908</v>
      </c>
      <c r="E49" s="41"/>
      <c r="F49" s="40"/>
      <c r="G49" s="44"/>
      <c r="H49" s="44"/>
      <c r="I49" s="44"/>
      <c r="J49" s="44"/>
    </row>
    <row r="50" spans="1:11" x14ac:dyDescent="0.25">
      <c r="A50" s="40" t="s">
        <v>4</v>
      </c>
      <c r="B50" s="41">
        <v>105</v>
      </c>
      <c r="C50" s="42">
        <v>34</v>
      </c>
      <c r="D50" s="61" t="s">
        <v>532</v>
      </c>
      <c r="E50" s="41" t="s">
        <v>103</v>
      </c>
      <c r="F50" s="40" t="s">
        <v>89</v>
      </c>
      <c r="G50" s="44"/>
      <c r="H50" s="44" t="s">
        <v>78</v>
      </c>
      <c r="I50" s="44"/>
      <c r="J50" s="44"/>
    </row>
    <row r="51" spans="1:11" x14ac:dyDescent="0.25">
      <c r="A51" s="40" t="s">
        <v>4</v>
      </c>
      <c r="B51" s="41">
        <v>105</v>
      </c>
      <c r="C51" s="42">
        <v>32</v>
      </c>
      <c r="D51" s="61" t="s">
        <v>556</v>
      </c>
      <c r="E51" s="41">
        <v>1990</v>
      </c>
      <c r="F51" s="40" t="s">
        <v>73</v>
      </c>
      <c r="G51" s="44"/>
      <c r="H51" s="44">
        <v>200.5</v>
      </c>
      <c r="I51" s="44"/>
      <c r="J51" s="44"/>
    </row>
    <row r="52" spans="1:11" x14ac:dyDescent="0.25">
      <c r="A52" s="40" t="s">
        <v>883</v>
      </c>
      <c r="B52" s="41">
        <v>105</v>
      </c>
      <c r="C52" s="42">
        <v>17</v>
      </c>
      <c r="D52" s="61" t="s">
        <v>591</v>
      </c>
      <c r="E52" s="41" t="s">
        <v>441</v>
      </c>
      <c r="F52" s="40" t="s">
        <v>89</v>
      </c>
      <c r="G52" s="44" t="s">
        <v>85</v>
      </c>
      <c r="H52" s="44" t="s">
        <v>74</v>
      </c>
      <c r="I52" s="44" t="s">
        <v>147</v>
      </c>
      <c r="J52" s="44" t="s">
        <v>560</v>
      </c>
    </row>
    <row r="53" spans="1:11" x14ac:dyDescent="0.25">
      <c r="A53" s="40" t="s">
        <v>885</v>
      </c>
      <c r="B53" s="41">
        <v>105</v>
      </c>
      <c r="C53" s="42">
        <v>96</v>
      </c>
      <c r="D53" s="61" t="s">
        <v>559</v>
      </c>
      <c r="E53" s="41" t="s">
        <v>505</v>
      </c>
      <c r="F53" s="40" t="s">
        <v>58</v>
      </c>
      <c r="G53" s="44"/>
      <c r="H53" s="44" t="s">
        <v>60</v>
      </c>
      <c r="I53" s="44"/>
      <c r="J53" s="44"/>
    </row>
    <row r="54" spans="1:11" x14ac:dyDescent="0.25">
      <c r="A54" s="40" t="s">
        <v>911</v>
      </c>
      <c r="B54" s="41">
        <v>105</v>
      </c>
      <c r="C54" s="42">
        <v>16</v>
      </c>
      <c r="D54" s="61" t="s">
        <v>315</v>
      </c>
      <c r="E54" s="41" t="s">
        <v>246</v>
      </c>
      <c r="F54" s="40" t="s">
        <v>53</v>
      </c>
      <c r="G54" s="44" t="s">
        <v>121</v>
      </c>
      <c r="H54" s="44" t="s">
        <v>18</v>
      </c>
      <c r="I54" s="44" t="s">
        <v>116</v>
      </c>
      <c r="J54" s="44" t="s">
        <v>580</v>
      </c>
    </row>
    <row r="55" spans="1:11" x14ac:dyDescent="0.25">
      <c r="A55" s="40"/>
      <c r="B55" s="41"/>
      <c r="C55" s="42"/>
      <c r="D55" s="33" t="s">
        <v>912</v>
      </c>
      <c r="E55" s="41"/>
      <c r="F55" s="40"/>
      <c r="G55" s="44"/>
      <c r="H55" s="44"/>
      <c r="I55" s="44"/>
      <c r="J55" s="44"/>
    </row>
    <row r="56" spans="1:11" x14ac:dyDescent="0.25">
      <c r="A56" s="40" t="s">
        <v>4</v>
      </c>
      <c r="B56" s="41">
        <v>120</v>
      </c>
      <c r="C56" s="42">
        <v>71</v>
      </c>
      <c r="D56" s="61" t="s">
        <v>557</v>
      </c>
      <c r="E56" s="41" t="s">
        <v>103</v>
      </c>
      <c r="F56" s="40" t="s">
        <v>89</v>
      </c>
      <c r="G56" s="44"/>
      <c r="H56" s="44" t="s">
        <v>107</v>
      </c>
      <c r="I56" s="44"/>
      <c r="J56" s="44"/>
    </row>
    <row r="57" spans="1:11" x14ac:dyDescent="0.25">
      <c r="A57" s="40" t="s">
        <v>883</v>
      </c>
      <c r="B57" s="41">
        <v>120</v>
      </c>
      <c r="C57" s="42">
        <v>41</v>
      </c>
      <c r="D57" s="61" t="s">
        <v>592</v>
      </c>
      <c r="E57" s="41" t="s">
        <v>451</v>
      </c>
      <c r="F57" s="40" t="s">
        <v>89</v>
      </c>
      <c r="G57" s="44" t="s">
        <v>85</v>
      </c>
      <c r="H57" s="44" t="s">
        <v>98</v>
      </c>
      <c r="I57" s="44" t="s">
        <v>157</v>
      </c>
      <c r="J57" s="44" t="s">
        <v>593</v>
      </c>
    </row>
    <row r="58" spans="1:11" x14ac:dyDescent="0.25">
      <c r="A58" s="40" t="s">
        <v>884</v>
      </c>
      <c r="B58" s="41">
        <v>120</v>
      </c>
      <c r="C58" s="42">
        <v>85</v>
      </c>
      <c r="D58" s="61" t="s">
        <v>595</v>
      </c>
      <c r="E58" s="41" t="s">
        <v>470</v>
      </c>
      <c r="F58" s="40" t="s">
        <v>89</v>
      </c>
      <c r="G58" s="44" t="s">
        <v>371</v>
      </c>
      <c r="H58" s="44" t="s">
        <v>117</v>
      </c>
      <c r="I58" s="44" t="s">
        <v>61</v>
      </c>
      <c r="J58" s="44" t="s">
        <v>588</v>
      </c>
      <c r="K58" s="21">
        <v>16</v>
      </c>
    </row>
    <row r="59" spans="1:11" x14ac:dyDescent="0.25">
      <c r="C59" s="58"/>
    </row>
    <row r="60" spans="1:11" x14ac:dyDescent="0.25">
      <c r="C60" s="58"/>
    </row>
    <row r="61" spans="1:11" x14ac:dyDescent="0.25">
      <c r="C61" s="58"/>
    </row>
    <row r="62" spans="1:11" x14ac:dyDescent="0.25">
      <c r="C62" s="58"/>
    </row>
    <row r="63" spans="1:11" x14ac:dyDescent="0.25">
      <c r="C63" s="58"/>
    </row>
    <row r="64" spans="1:11" x14ac:dyDescent="0.25">
      <c r="C64" s="58"/>
    </row>
    <row r="65" spans="3:3" x14ac:dyDescent="0.25">
      <c r="C65" s="58"/>
    </row>
    <row r="66" spans="3:3" x14ac:dyDescent="0.25">
      <c r="C66" s="58"/>
    </row>
    <row r="67" spans="3:3" x14ac:dyDescent="0.25">
      <c r="C67" s="58"/>
    </row>
    <row r="68" spans="3:3" x14ac:dyDescent="0.25">
      <c r="C68" s="58"/>
    </row>
    <row r="69" spans="3:3" x14ac:dyDescent="0.25">
      <c r="C69" s="58"/>
    </row>
    <row r="70" spans="3:3" x14ac:dyDescent="0.25">
      <c r="C70" s="58"/>
    </row>
    <row r="71" spans="3:3" x14ac:dyDescent="0.25">
      <c r="C71" s="58"/>
    </row>
    <row r="72" spans="3:3" x14ac:dyDescent="0.25">
      <c r="C72" s="58"/>
    </row>
    <row r="73" spans="3:3" x14ac:dyDescent="0.25">
      <c r="C73" s="58"/>
    </row>
    <row r="74" spans="3:3" x14ac:dyDescent="0.25">
      <c r="C74" s="58"/>
    </row>
    <row r="75" spans="3:3" x14ac:dyDescent="0.25">
      <c r="C75" s="58"/>
    </row>
    <row r="76" spans="3:3" x14ac:dyDescent="0.25">
      <c r="C76" s="58"/>
    </row>
    <row r="77" spans="3:3" x14ac:dyDescent="0.25">
      <c r="C77" s="58"/>
    </row>
    <row r="78" spans="3:3" x14ac:dyDescent="0.25">
      <c r="C78" s="58"/>
    </row>
    <row r="79" spans="3:3" x14ac:dyDescent="0.25">
      <c r="C79" s="58"/>
    </row>
    <row r="80" spans="3:3" x14ac:dyDescent="0.25">
      <c r="C80" s="58"/>
    </row>
    <row r="81" spans="3:3" x14ac:dyDescent="0.25">
      <c r="C81" s="58"/>
    </row>
    <row r="82" spans="3:3" x14ac:dyDescent="0.25">
      <c r="C82" s="58"/>
    </row>
    <row r="83" spans="3:3" x14ac:dyDescent="0.25">
      <c r="C83" s="58"/>
    </row>
    <row r="84" spans="3:3" x14ac:dyDescent="0.25">
      <c r="C84" s="58"/>
    </row>
    <row r="85" spans="3:3" x14ac:dyDescent="0.25">
      <c r="C85" s="58"/>
    </row>
    <row r="86" spans="3:3" x14ac:dyDescent="0.25">
      <c r="C86" s="58"/>
    </row>
  </sheetData>
  <sortState ref="A8:J58">
    <sortCondition ref="B8:B58"/>
    <sortCondition ref="A8:A58"/>
    <sortCondition descending="1" ref="J8:J58"/>
    <sortCondition descending="1" ref="H8:H58"/>
  </sortState>
  <mergeCells count="8">
    <mergeCell ref="A25:J25"/>
    <mergeCell ref="A26:J26"/>
    <mergeCell ref="A27:J27"/>
    <mergeCell ref="A28:J28"/>
    <mergeCell ref="A1:J1"/>
    <mergeCell ref="A2:J2"/>
    <mergeCell ref="A3:J3"/>
    <mergeCell ref="A4:J4"/>
  </mergeCells>
  <printOptions horizontalCentered="1"/>
  <pageMargins left="0.19685039370078741" right="0.19685039370078741" top="0.39370078740157483" bottom="0.39370078740157483" header="0" footer="0"/>
  <pageSetup paperSize="9" orientation="portrait" r:id="rId1"/>
  <rowBreaks count="1" manualBreakCount="1">
    <brk id="24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view="pageBreakPreview" topLeftCell="A10" zoomScaleNormal="100" zoomScaleSheetLayoutView="100" workbookViewId="0">
      <selection sqref="A1:J35"/>
    </sheetView>
  </sheetViews>
  <sheetFormatPr defaultColWidth="11.42578125" defaultRowHeight="15" x14ac:dyDescent="0.25"/>
  <cols>
    <col min="1" max="1" width="8.7109375" style="26" customWidth="1"/>
    <col min="2" max="2" width="8.7109375" style="27" customWidth="1"/>
    <col min="3" max="3" width="7.7109375" style="27" hidden="1" customWidth="1"/>
    <col min="4" max="4" width="32.7109375" style="21" customWidth="1"/>
    <col min="5" max="5" width="7.7109375" style="27" customWidth="1"/>
    <col min="6" max="6" width="11.42578125" style="26"/>
    <col min="7" max="10" width="7.7109375" style="27" customWidth="1"/>
    <col min="11" max="16384" width="11.42578125" style="21"/>
  </cols>
  <sheetData>
    <row r="1" spans="1:10" x14ac:dyDescent="0.25">
      <c r="A1" s="75" t="s">
        <v>961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8" t="s">
        <v>946</v>
      </c>
      <c r="B2" s="78"/>
      <c r="C2" s="78"/>
      <c r="D2" s="78"/>
      <c r="E2" s="78"/>
      <c r="F2" s="78"/>
      <c r="G2" s="78"/>
      <c r="H2" s="78"/>
      <c r="I2" s="78"/>
      <c r="J2" s="78"/>
    </row>
    <row r="3" spans="1:10" x14ac:dyDescent="0.25">
      <c r="A3" s="78" t="s">
        <v>935</v>
      </c>
      <c r="B3" s="78"/>
      <c r="C3" s="78"/>
      <c r="D3" s="78"/>
      <c r="E3" s="78"/>
      <c r="F3" s="78"/>
      <c r="G3" s="78"/>
      <c r="H3" s="78"/>
      <c r="I3" s="78"/>
      <c r="J3" s="78"/>
    </row>
    <row r="4" spans="1:10" s="22" customFormat="1" x14ac:dyDescent="0.25">
      <c r="A4" s="77" t="s">
        <v>936</v>
      </c>
      <c r="B4" s="77"/>
      <c r="C4" s="77"/>
      <c r="D4" s="77"/>
      <c r="E4" s="77"/>
      <c r="F4" s="77"/>
      <c r="G4" s="77"/>
      <c r="H4" s="77"/>
      <c r="I4" s="77"/>
      <c r="J4" s="77"/>
    </row>
    <row r="5" spans="1:10" x14ac:dyDescent="0.25">
      <c r="A5" s="30" t="s">
        <v>0</v>
      </c>
      <c r="B5" s="30" t="s">
        <v>1</v>
      </c>
      <c r="C5" s="30" t="s">
        <v>931</v>
      </c>
      <c r="D5" s="31" t="s">
        <v>889</v>
      </c>
      <c r="E5" s="30" t="s">
        <v>890</v>
      </c>
      <c r="F5" s="30" t="s">
        <v>891</v>
      </c>
      <c r="G5" s="32" t="s">
        <v>874</v>
      </c>
      <c r="H5" s="32" t="s">
        <v>887</v>
      </c>
      <c r="I5" s="32" t="s">
        <v>888</v>
      </c>
      <c r="J5" s="32" t="s">
        <v>3</v>
      </c>
    </row>
    <row r="6" spans="1:10" s="22" customFormat="1" x14ac:dyDescent="0.25">
      <c r="A6" s="28"/>
      <c r="B6" s="28"/>
      <c r="C6" s="28"/>
      <c r="D6" s="60" t="s">
        <v>939</v>
      </c>
      <c r="E6" s="28"/>
      <c r="F6" s="28"/>
      <c r="G6" s="29"/>
      <c r="H6" s="29"/>
      <c r="I6" s="29"/>
      <c r="J6" s="29"/>
    </row>
    <row r="7" spans="1:10" s="22" customFormat="1" x14ac:dyDescent="0.25">
      <c r="A7" s="62"/>
      <c r="B7" s="63"/>
      <c r="C7" s="63"/>
      <c r="D7" s="39" t="s">
        <v>894</v>
      </c>
      <c r="E7" s="63"/>
      <c r="F7" s="62"/>
      <c r="G7" s="63"/>
      <c r="H7" s="63"/>
      <c r="I7" s="63"/>
      <c r="J7" s="63"/>
    </row>
    <row r="8" spans="1:10" s="22" customFormat="1" x14ac:dyDescent="0.25">
      <c r="A8" s="43" t="s">
        <v>4</v>
      </c>
      <c r="B8" s="42">
        <v>15</v>
      </c>
      <c r="C8" s="64">
        <v>47</v>
      </c>
      <c r="D8" s="43" t="s">
        <v>914</v>
      </c>
      <c r="E8" s="64">
        <v>1992</v>
      </c>
      <c r="F8" s="43" t="s">
        <v>89</v>
      </c>
      <c r="G8" s="65">
        <v>165</v>
      </c>
      <c r="H8" s="65">
        <v>100</v>
      </c>
      <c r="I8" s="65">
        <v>145</v>
      </c>
      <c r="J8" s="65">
        <f t="shared" ref="J8:J35" si="0">G8+H8+I8</f>
        <v>410</v>
      </c>
    </row>
    <row r="9" spans="1:10" s="22" customFormat="1" x14ac:dyDescent="0.25">
      <c r="A9" s="43"/>
      <c r="B9" s="42"/>
      <c r="C9" s="64"/>
      <c r="D9" s="39" t="s">
        <v>895</v>
      </c>
      <c r="E9" s="64"/>
      <c r="F9" s="43"/>
      <c r="G9" s="65"/>
      <c r="H9" s="65"/>
      <c r="I9" s="65"/>
      <c r="J9" s="65"/>
    </row>
    <row r="10" spans="1:10" s="22" customFormat="1" x14ac:dyDescent="0.25">
      <c r="A10" s="43" t="s">
        <v>4</v>
      </c>
      <c r="B10" s="42">
        <v>53</v>
      </c>
      <c r="C10" s="64">
        <v>52</v>
      </c>
      <c r="D10" s="43" t="s">
        <v>698</v>
      </c>
      <c r="E10" s="64">
        <v>1985</v>
      </c>
      <c r="F10" s="43" t="s">
        <v>53</v>
      </c>
      <c r="G10" s="65">
        <v>190</v>
      </c>
      <c r="H10" s="65">
        <v>120</v>
      </c>
      <c r="I10" s="65">
        <v>175</v>
      </c>
      <c r="J10" s="65">
        <f t="shared" si="0"/>
        <v>485</v>
      </c>
    </row>
    <row r="11" spans="1:10" s="22" customFormat="1" x14ac:dyDescent="0.25">
      <c r="A11" s="34"/>
      <c r="B11" s="42"/>
      <c r="C11" s="35"/>
      <c r="D11" s="66" t="s">
        <v>896</v>
      </c>
      <c r="E11" s="35"/>
      <c r="F11" s="34"/>
      <c r="G11" s="35"/>
      <c r="H11" s="36"/>
      <c r="I11" s="35"/>
      <c r="J11" s="35"/>
    </row>
    <row r="12" spans="1:10" s="22" customFormat="1" x14ac:dyDescent="0.25">
      <c r="A12" s="43" t="s">
        <v>4</v>
      </c>
      <c r="B12" s="42">
        <v>6</v>
      </c>
      <c r="C12" s="64">
        <v>57</v>
      </c>
      <c r="D12" s="43" t="s">
        <v>804</v>
      </c>
      <c r="E12" s="64">
        <v>2007</v>
      </c>
      <c r="F12" s="43" t="s">
        <v>53</v>
      </c>
      <c r="G12" s="65">
        <v>200</v>
      </c>
      <c r="H12" s="65">
        <v>97.5</v>
      </c>
      <c r="I12" s="65">
        <v>190</v>
      </c>
      <c r="J12" s="65">
        <f t="shared" si="0"/>
        <v>487.5</v>
      </c>
    </row>
    <row r="13" spans="1:10" s="22" customFormat="1" x14ac:dyDescent="0.25">
      <c r="A13" s="43" t="s">
        <v>4</v>
      </c>
      <c r="B13" s="42">
        <v>59</v>
      </c>
      <c r="C13" s="64">
        <v>57</v>
      </c>
      <c r="D13" s="43" t="s">
        <v>915</v>
      </c>
      <c r="E13" s="64">
        <v>1997</v>
      </c>
      <c r="F13" s="43" t="s">
        <v>89</v>
      </c>
      <c r="G13" s="65">
        <v>162.5</v>
      </c>
      <c r="H13" s="65">
        <v>72.5</v>
      </c>
      <c r="I13" s="65">
        <v>165</v>
      </c>
      <c r="J13" s="65">
        <f t="shared" si="0"/>
        <v>400</v>
      </c>
    </row>
    <row r="14" spans="1:10" s="22" customFormat="1" x14ac:dyDescent="0.25">
      <c r="A14" s="43" t="s">
        <v>884</v>
      </c>
      <c r="B14" s="42">
        <v>37</v>
      </c>
      <c r="C14" s="64">
        <v>57</v>
      </c>
      <c r="D14" s="43" t="s">
        <v>925</v>
      </c>
      <c r="E14" s="64">
        <v>1974</v>
      </c>
      <c r="F14" s="43" t="s">
        <v>53</v>
      </c>
      <c r="G14" s="65">
        <v>137.5</v>
      </c>
      <c r="H14" s="65">
        <v>75</v>
      </c>
      <c r="I14" s="65">
        <v>140</v>
      </c>
      <c r="J14" s="65">
        <f>G14+H14+I14</f>
        <v>352.5</v>
      </c>
    </row>
    <row r="15" spans="1:10" s="22" customFormat="1" x14ac:dyDescent="0.25">
      <c r="A15" s="43"/>
      <c r="B15" s="42"/>
      <c r="C15" s="64"/>
      <c r="D15" s="39" t="s">
        <v>897</v>
      </c>
      <c r="E15" s="64"/>
      <c r="F15" s="43"/>
      <c r="G15" s="65"/>
      <c r="H15" s="65"/>
      <c r="I15" s="65"/>
      <c r="J15" s="65"/>
    </row>
    <row r="16" spans="1:10" s="22" customFormat="1" x14ac:dyDescent="0.25">
      <c r="A16" s="43" t="s">
        <v>4</v>
      </c>
      <c r="B16" s="42">
        <v>89</v>
      </c>
      <c r="C16" s="64">
        <v>63</v>
      </c>
      <c r="D16" s="43" t="s">
        <v>723</v>
      </c>
      <c r="E16" s="64">
        <v>1991</v>
      </c>
      <c r="F16" s="43" t="s">
        <v>53</v>
      </c>
      <c r="G16" s="65">
        <v>220</v>
      </c>
      <c r="H16" s="65">
        <v>135</v>
      </c>
      <c r="I16" s="65">
        <v>195</v>
      </c>
      <c r="J16" s="65">
        <f t="shared" si="0"/>
        <v>550</v>
      </c>
    </row>
    <row r="17" spans="1:10" s="22" customFormat="1" x14ac:dyDescent="0.25">
      <c r="A17" s="43" t="s">
        <v>4</v>
      </c>
      <c r="B17" s="42">
        <v>40</v>
      </c>
      <c r="C17" s="64">
        <v>63</v>
      </c>
      <c r="D17" s="43" t="s">
        <v>916</v>
      </c>
      <c r="E17" s="64">
        <v>1993</v>
      </c>
      <c r="F17" s="43" t="s">
        <v>89</v>
      </c>
      <c r="G17" s="65">
        <v>165</v>
      </c>
      <c r="H17" s="65">
        <v>97.5</v>
      </c>
      <c r="I17" s="65">
        <v>145</v>
      </c>
      <c r="J17" s="65">
        <f t="shared" si="0"/>
        <v>407.5</v>
      </c>
    </row>
    <row r="18" spans="1:10" s="22" customFormat="1" x14ac:dyDescent="0.25">
      <c r="A18" s="43" t="s">
        <v>4</v>
      </c>
      <c r="B18" s="42">
        <v>47</v>
      </c>
      <c r="C18" s="64">
        <v>63</v>
      </c>
      <c r="D18" s="43" t="s">
        <v>917</v>
      </c>
      <c r="E18" s="64">
        <v>1998</v>
      </c>
      <c r="F18" s="43" t="s">
        <v>73</v>
      </c>
      <c r="G18" s="65">
        <v>142.5</v>
      </c>
      <c r="H18" s="65">
        <v>95</v>
      </c>
      <c r="I18" s="65">
        <v>160</v>
      </c>
      <c r="J18" s="65">
        <f t="shared" si="0"/>
        <v>397.5</v>
      </c>
    </row>
    <row r="19" spans="1:10" s="22" customFormat="1" x14ac:dyDescent="0.25">
      <c r="A19" s="43" t="s">
        <v>324</v>
      </c>
      <c r="B19" s="42">
        <v>77</v>
      </c>
      <c r="C19" s="64">
        <v>63</v>
      </c>
      <c r="D19" s="43" t="s">
        <v>921</v>
      </c>
      <c r="E19" s="64">
        <v>2004</v>
      </c>
      <c r="F19" s="43" t="s">
        <v>53</v>
      </c>
      <c r="G19" s="65">
        <v>170</v>
      </c>
      <c r="H19" s="65">
        <v>160</v>
      </c>
      <c r="I19" s="65">
        <v>82.5</v>
      </c>
      <c r="J19" s="65">
        <f>G19+H19+I19</f>
        <v>412.5</v>
      </c>
    </row>
    <row r="20" spans="1:10" s="22" customFormat="1" x14ac:dyDescent="0.25">
      <c r="A20" s="43" t="s">
        <v>883</v>
      </c>
      <c r="B20" s="42">
        <v>82</v>
      </c>
      <c r="C20" s="64">
        <v>63</v>
      </c>
      <c r="D20" s="43" t="s">
        <v>922</v>
      </c>
      <c r="E20" s="64">
        <v>1982</v>
      </c>
      <c r="F20" s="43" t="s">
        <v>89</v>
      </c>
      <c r="G20" s="65">
        <v>160</v>
      </c>
      <c r="H20" s="65">
        <v>67.5</v>
      </c>
      <c r="I20" s="65">
        <v>147.5</v>
      </c>
      <c r="J20" s="65">
        <f>G20+H20+I20</f>
        <v>375</v>
      </c>
    </row>
    <row r="21" spans="1:10" s="22" customFormat="1" x14ac:dyDescent="0.25">
      <c r="A21" s="34" t="s">
        <v>4</v>
      </c>
      <c r="B21" s="42">
        <v>47</v>
      </c>
      <c r="C21" s="35">
        <v>63</v>
      </c>
      <c r="D21" s="48" t="s">
        <v>926</v>
      </c>
      <c r="E21" s="35">
        <v>1998</v>
      </c>
      <c r="F21" s="34" t="s">
        <v>73</v>
      </c>
      <c r="G21" s="35"/>
      <c r="H21" s="36">
        <v>95</v>
      </c>
      <c r="I21" s="35"/>
      <c r="J21" s="35"/>
    </row>
    <row r="22" spans="1:10" s="22" customFormat="1" x14ac:dyDescent="0.25">
      <c r="A22" s="34"/>
      <c r="B22" s="42"/>
      <c r="C22" s="35"/>
      <c r="D22" s="66" t="s">
        <v>940</v>
      </c>
      <c r="E22" s="35"/>
      <c r="F22" s="34"/>
      <c r="G22" s="35"/>
      <c r="H22" s="36"/>
      <c r="I22" s="35"/>
      <c r="J22" s="35"/>
    </row>
    <row r="23" spans="1:10" s="22" customFormat="1" x14ac:dyDescent="0.25">
      <c r="A23" s="43"/>
      <c r="B23" s="42"/>
      <c r="C23" s="64"/>
      <c r="D23" s="39" t="s">
        <v>898</v>
      </c>
      <c r="E23" s="64"/>
      <c r="F23" s="43"/>
      <c r="G23" s="65"/>
      <c r="H23" s="65"/>
      <c r="I23" s="65"/>
      <c r="J23" s="65"/>
    </row>
    <row r="24" spans="1:10" s="22" customFormat="1" x14ac:dyDescent="0.25">
      <c r="A24" s="43" t="s">
        <v>4</v>
      </c>
      <c r="B24" s="42">
        <v>34</v>
      </c>
      <c r="C24" s="64">
        <v>69</v>
      </c>
      <c r="D24" s="43" t="s">
        <v>918</v>
      </c>
      <c r="E24" s="64">
        <v>1985</v>
      </c>
      <c r="F24" s="43" t="s">
        <v>89</v>
      </c>
      <c r="G24" s="65">
        <v>225</v>
      </c>
      <c r="H24" s="65">
        <v>155</v>
      </c>
      <c r="I24" s="65">
        <v>205</v>
      </c>
      <c r="J24" s="65">
        <f t="shared" si="0"/>
        <v>585</v>
      </c>
    </row>
    <row r="25" spans="1:10" s="22" customFormat="1" x14ac:dyDescent="0.25">
      <c r="A25" s="34" t="s">
        <v>928</v>
      </c>
      <c r="B25" s="42">
        <v>32</v>
      </c>
      <c r="C25" s="35">
        <v>69</v>
      </c>
      <c r="D25" s="48" t="s">
        <v>927</v>
      </c>
      <c r="E25" s="35">
        <v>2003</v>
      </c>
      <c r="F25" s="34" t="s">
        <v>89</v>
      </c>
      <c r="G25" s="35"/>
      <c r="H25" s="36">
        <v>70</v>
      </c>
      <c r="I25" s="35"/>
      <c r="J25" s="35"/>
    </row>
    <row r="26" spans="1:10" s="22" customFormat="1" x14ac:dyDescent="0.25">
      <c r="A26" s="43"/>
      <c r="B26" s="42"/>
      <c r="C26" s="64"/>
      <c r="D26" s="39" t="s">
        <v>899</v>
      </c>
      <c r="E26" s="64"/>
      <c r="F26" s="43"/>
      <c r="G26" s="65"/>
      <c r="H26" s="65"/>
      <c r="I26" s="65"/>
      <c r="J26" s="65"/>
    </row>
    <row r="27" spans="1:10" s="22" customFormat="1" x14ac:dyDescent="0.25">
      <c r="A27" s="43" t="s">
        <v>4</v>
      </c>
      <c r="B27" s="42">
        <v>96</v>
      </c>
      <c r="C27" s="64">
        <v>76</v>
      </c>
      <c r="D27" s="43" t="s">
        <v>840</v>
      </c>
      <c r="E27" s="64">
        <v>2004</v>
      </c>
      <c r="F27" s="43" t="s">
        <v>53</v>
      </c>
      <c r="G27" s="65">
        <v>192.5</v>
      </c>
      <c r="H27" s="65">
        <v>90</v>
      </c>
      <c r="I27" s="65">
        <v>195</v>
      </c>
      <c r="J27" s="65">
        <f t="shared" si="0"/>
        <v>477.5</v>
      </c>
    </row>
    <row r="28" spans="1:10" s="22" customFormat="1" x14ac:dyDescent="0.25">
      <c r="A28" s="43" t="s">
        <v>4</v>
      </c>
      <c r="B28" s="42">
        <v>16</v>
      </c>
      <c r="C28" s="64">
        <v>76</v>
      </c>
      <c r="D28" s="43" t="s">
        <v>919</v>
      </c>
      <c r="E28" s="64">
        <v>1994</v>
      </c>
      <c r="F28" s="43" t="s">
        <v>89</v>
      </c>
      <c r="G28" s="65">
        <v>175</v>
      </c>
      <c r="H28" s="65">
        <v>112.5</v>
      </c>
      <c r="I28" s="65">
        <v>177.5</v>
      </c>
      <c r="J28" s="65">
        <f t="shared" si="0"/>
        <v>465</v>
      </c>
    </row>
    <row r="29" spans="1:10" s="22" customFormat="1" x14ac:dyDescent="0.25">
      <c r="A29" s="43" t="s">
        <v>324</v>
      </c>
      <c r="B29" s="42">
        <v>52</v>
      </c>
      <c r="C29" s="64">
        <v>76</v>
      </c>
      <c r="D29" s="43" t="s">
        <v>842</v>
      </c>
      <c r="E29" s="64">
        <v>2003</v>
      </c>
      <c r="F29" s="43" t="s">
        <v>89</v>
      </c>
      <c r="G29" s="65">
        <v>192.5</v>
      </c>
      <c r="H29" s="65">
        <v>180</v>
      </c>
      <c r="I29" s="65">
        <v>102.5</v>
      </c>
      <c r="J29" s="65">
        <f>G29+H29+I29</f>
        <v>475</v>
      </c>
    </row>
    <row r="30" spans="1:10" s="22" customFormat="1" x14ac:dyDescent="0.25">
      <c r="A30" s="43" t="s">
        <v>883</v>
      </c>
      <c r="B30" s="42">
        <v>71</v>
      </c>
      <c r="C30" s="64">
        <v>76</v>
      </c>
      <c r="D30" s="43" t="s">
        <v>923</v>
      </c>
      <c r="E30" s="64">
        <v>1986</v>
      </c>
      <c r="F30" s="43" t="s">
        <v>89</v>
      </c>
      <c r="G30" s="65">
        <v>190</v>
      </c>
      <c r="H30" s="65">
        <v>105</v>
      </c>
      <c r="I30" s="65">
        <v>175</v>
      </c>
      <c r="J30" s="65">
        <f>G30+H30+I30</f>
        <v>470</v>
      </c>
    </row>
    <row r="31" spans="1:10" s="22" customFormat="1" x14ac:dyDescent="0.25">
      <c r="A31" s="43" t="s">
        <v>883</v>
      </c>
      <c r="B31" s="42">
        <v>41</v>
      </c>
      <c r="C31" s="64">
        <v>76</v>
      </c>
      <c r="D31" s="43" t="s">
        <v>924</v>
      </c>
      <c r="E31" s="64">
        <v>1985</v>
      </c>
      <c r="F31" s="43" t="s">
        <v>58</v>
      </c>
      <c r="G31" s="65">
        <v>145</v>
      </c>
      <c r="H31" s="65">
        <v>80</v>
      </c>
      <c r="I31" s="65">
        <v>165</v>
      </c>
      <c r="J31" s="65">
        <f>G31+H31+I31</f>
        <v>390</v>
      </c>
    </row>
    <row r="32" spans="1:10" s="22" customFormat="1" x14ac:dyDescent="0.25">
      <c r="A32" s="43"/>
      <c r="B32" s="42"/>
      <c r="C32" s="64"/>
      <c r="D32" s="39" t="s">
        <v>900</v>
      </c>
      <c r="E32" s="64"/>
      <c r="F32" s="43"/>
      <c r="G32" s="65"/>
      <c r="H32" s="65"/>
      <c r="I32" s="65"/>
      <c r="J32" s="65"/>
    </row>
    <row r="33" spans="1:11" s="22" customFormat="1" x14ac:dyDescent="0.25">
      <c r="A33" s="43" t="s">
        <v>4</v>
      </c>
      <c r="B33" s="42">
        <v>91</v>
      </c>
      <c r="C33" s="64">
        <v>84</v>
      </c>
      <c r="D33" s="43" t="s">
        <v>920</v>
      </c>
      <c r="E33" s="64">
        <v>1994</v>
      </c>
      <c r="F33" s="43" t="s">
        <v>89</v>
      </c>
      <c r="G33" s="65">
        <v>195</v>
      </c>
      <c r="H33" s="65">
        <v>125.5</v>
      </c>
      <c r="I33" s="65">
        <v>150</v>
      </c>
      <c r="J33" s="65">
        <f t="shared" si="0"/>
        <v>470.5</v>
      </c>
    </row>
    <row r="34" spans="1:11" s="22" customFormat="1" x14ac:dyDescent="0.25">
      <c r="A34" s="43"/>
      <c r="B34" s="42"/>
      <c r="C34" s="64"/>
      <c r="D34" s="39" t="s">
        <v>901</v>
      </c>
      <c r="E34" s="64"/>
      <c r="F34" s="43"/>
      <c r="G34" s="65"/>
      <c r="H34" s="65"/>
      <c r="I34" s="65"/>
      <c r="J34" s="65"/>
    </row>
    <row r="35" spans="1:11" s="22" customFormat="1" x14ac:dyDescent="0.25">
      <c r="A35" s="43" t="s">
        <v>4</v>
      </c>
      <c r="B35" s="42">
        <v>60</v>
      </c>
      <c r="C35" s="64">
        <v>85</v>
      </c>
      <c r="D35" s="43" t="s">
        <v>745</v>
      </c>
      <c r="E35" s="64">
        <v>2001</v>
      </c>
      <c r="F35" s="43" t="s">
        <v>89</v>
      </c>
      <c r="G35" s="65">
        <v>268.5</v>
      </c>
      <c r="H35" s="65">
        <v>150</v>
      </c>
      <c r="I35" s="65">
        <v>200</v>
      </c>
      <c r="J35" s="65">
        <f t="shared" si="0"/>
        <v>618.5</v>
      </c>
      <c r="K35" s="67">
        <v>18</v>
      </c>
    </row>
    <row r="36" spans="1:11" s="22" customFormat="1" x14ac:dyDescent="0.25">
      <c r="A36" s="23"/>
      <c r="B36" s="58"/>
      <c r="C36" s="24"/>
      <c r="E36" s="24"/>
      <c r="F36" s="23"/>
      <c r="G36" s="24"/>
      <c r="H36" s="24"/>
      <c r="I36" s="24"/>
      <c r="J36" s="24"/>
    </row>
    <row r="37" spans="1:11" s="22" customFormat="1" x14ac:dyDescent="0.25">
      <c r="A37" s="23"/>
      <c r="B37" s="58"/>
      <c r="C37" s="24"/>
      <c r="E37" s="24"/>
      <c r="F37" s="23"/>
      <c r="G37" s="24"/>
      <c r="H37" s="24"/>
      <c r="I37" s="24"/>
      <c r="J37" s="24"/>
    </row>
    <row r="38" spans="1:11" s="22" customFormat="1" x14ac:dyDescent="0.25">
      <c r="A38" s="23"/>
      <c r="B38" s="58"/>
      <c r="C38" s="24"/>
      <c r="E38" s="24"/>
      <c r="F38" s="23"/>
      <c r="G38" s="24"/>
      <c r="H38" s="25"/>
      <c r="I38" s="24"/>
      <c r="J38" s="24"/>
    </row>
    <row r="39" spans="1:11" s="22" customFormat="1" x14ac:dyDescent="0.25">
      <c r="A39" s="23"/>
      <c r="B39" s="58"/>
      <c r="C39" s="24"/>
      <c r="E39" s="24"/>
      <c r="F39" s="23"/>
      <c r="G39" s="24"/>
      <c r="H39" s="24"/>
      <c r="I39" s="24"/>
      <c r="J39" s="24"/>
    </row>
    <row r="40" spans="1:11" s="22" customFormat="1" x14ac:dyDescent="0.25">
      <c r="A40" s="23"/>
      <c r="B40" s="58"/>
      <c r="C40" s="24"/>
      <c r="E40" s="24"/>
      <c r="F40" s="23"/>
      <c r="G40" s="24"/>
      <c r="H40" s="24"/>
      <c r="I40" s="24"/>
      <c r="J40" s="24"/>
    </row>
    <row r="41" spans="1:11" x14ac:dyDescent="0.25">
      <c r="B41" s="58"/>
    </row>
    <row r="42" spans="1:11" x14ac:dyDescent="0.25">
      <c r="B42" s="58"/>
    </row>
    <row r="43" spans="1:11" x14ac:dyDescent="0.25">
      <c r="B43" s="58"/>
    </row>
    <row r="44" spans="1:11" x14ac:dyDescent="0.25">
      <c r="B44" s="58"/>
    </row>
    <row r="45" spans="1:11" x14ac:dyDescent="0.25">
      <c r="B45" s="58"/>
    </row>
    <row r="46" spans="1:11" x14ac:dyDescent="0.25">
      <c r="B46" s="58"/>
    </row>
    <row r="47" spans="1:11" x14ac:dyDescent="0.25">
      <c r="B47" s="58"/>
    </row>
    <row r="48" spans="1:11" x14ac:dyDescent="0.25">
      <c r="B48" s="58"/>
    </row>
    <row r="49" spans="2:2" x14ac:dyDescent="0.25">
      <c r="B49" s="58"/>
    </row>
    <row r="50" spans="2:2" x14ac:dyDescent="0.25">
      <c r="B50" s="58"/>
    </row>
    <row r="51" spans="2:2" x14ac:dyDescent="0.25">
      <c r="B51" s="58"/>
    </row>
    <row r="52" spans="2:2" x14ac:dyDescent="0.25">
      <c r="B52" s="58"/>
    </row>
    <row r="53" spans="2:2" x14ac:dyDescent="0.25">
      <c r="B53" s="58"/>
    </row>
    <row r="54" spans="2:2" x14ac:dyDescent="0.25">
      <c r="B54" s="58"/>
    </row>
    <row r="55" spans="2:2" x14ac:dyDescent="0.25">
      <c r="B55" s="58"/>
    </row>
    <row r="56" spans="2:2" x14ac:dyDescent="0.25">
      <c r="B56" s="58"/>
    </row>
    <row r="57" spans="2:2" x14ac:dyDescent="0.25">
      <c r="B57" s="58"/>
    </row>
    <row r="58" spans="2:2" x14ac:dyDescent="0.25">
      <c r="B58" s="58"/>
    </row>
    <row r="59" spans="2:2" x14ac:dyDescent="0.25">
      <c r="B59" s="58"/>
    </row>
    <row r="60" spans="2:2" x14ac:dyDescent="0.25">
      <c r="B60" s="58"/>
    </row>
    <row r="61" spans="2:2" x14ac:dyDescent="0.25">
      <c r="B61" s="58"/>
    </row>
  </sheetData>
  <mergeCells count="4">
    <mergeCell ref="A1:J1"/>
    <mergeCell ref="A2:J2"/>
    <mergeCell ref="A3:J3"/>
    <mergeCell ref="A4:J4"/>
  </mergeCells>
  <printOptions horizontalCentered="1"/>
  <pageMargins left="0.19685039370078741" right="0.19685039370078741" top="0.39370078740157483" bottom="0.3937007874015748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SOI</vt:lpstr>
      <vt:lpstr>Men Classic</vt:lpstr>
      <vt:lpstr>Women Classic</vt:lpstr>
      <vt:lpstr>Men Eq </vt:lpstr>
      <vt:lpstr>Women Eq</vt:lpstr>
      <vt:lpstr>'Men Classic'!Print_Area</vt:lpstr>
      <vt:lpstr>'Men Eq '!Print_Area</vt:lpstr>
      <vt:lpstr>SOI!Print_Area</vt:lpstr>
      <vt:lpstr>'Women Classic'!Print_Area</vt:lpstr>
      <vt:lpstr>'Women Eq'!Print_Area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Anyelo</cp:lastModifiedBy>
  <cp:lastPrinted>2026-09-02T14:23:49Z</cp:lastPrinted>
  <dcterms:created xsi:type="dcterms:W3CDTF">2026-07-24T12:30:51Z</dcterms:created>
  <dcterms:modified xsi:type="dcterms:W3CDTF">2026-09-02T18:36:34Z</dcterms:modified>
</cp:coreProperties>
</file>